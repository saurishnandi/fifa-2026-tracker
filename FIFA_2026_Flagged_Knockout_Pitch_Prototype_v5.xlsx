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Group Stage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Tournament Map" sheetId="4" state="visible" r:id="rId4"/>
    <sheet xmlns:r="http://schemas.openxmlformats.org/officeDocument/2006/relationships" name="Match Results" sheetId="5" state="visible" r:id="rId5"/>
    <sheet xmlns:r="http://schemas.openxmlformats.org/officeDocument/2006/relationships" name="Annex C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Live API" sheetId="8" state="visible" r:id="rId8"/>
    <sheet xmlns:r="http://schemas.openxmlformats.org/officeDocument/2006/relationships" name="Knockout Pitch Map" sheetId="9" state="visible" r:id="rId9"/>
    <sheet xmlns:r="http://schemas.openxmlformats.org/officeDocument/2006/relationships" name="Flag Assets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0">
    <font>
      <name val="Carlito"/>
      <sz val="11"/>
    </font>
    <font>
      <name val="Carlito"/>
      <b val="1"/>
      <color rgb="FFFFFFFF"/>
      <sz val="20"/>
    </font>
    <font>
      <name val="Carlito"/>
      <b val="1"/>
      <color rgb="FFFFFFFF"/>
      <sz val="12"/>
    </font>
    <font>
      <name val="Carlito"/>
      <b val="1"/>
      <color rgb="FFFFFFFF"/>
      <sz val="11"/>
    </font>
    <font>
      <name val="Carlito"/>
      <b val="1"/>
      <color rgb="FF111827"/>
      <sz val="11"/>
    </font>
    <font>
      <name val="Carlito"/>
      <b val="1"/>
      <color rgb="FFFFFFFF"/>
      <sz val="18"/>
    </font>
    <font>
      <name val="Carlito"/>
      <i val="1"/>
      <color rgb="FF111827"/>
      <sz val="11"/>
    </font>
    <font>
      <name val="Carlito"/>
      <color rgb="FF111827"/>
      <sz val="11"/>
    </font>
    <font>
      <name val="Carlito"/>
      <color rgb="FF111827"/>
      <sz val="10"/>
    </font>
    <font>
      <name val="Carlito"/>
      <b val="1"/>
      <color rgb="FF111827"/>
      <sz val="10"/>
    </font>
    <font>
      <name val="Carlito"/>
      <b val="1"/>
      <color rgb="FFFFFFFF"/>
      <sz val="16"/>
    </font>
    <font>
      <name val="Carlito"/>
      <b val="1"/>
      <color rgb="FFFFFFFF"/>
      <sz val="13"/>
    </font>
    <font>
      <name val="Carlito"/>
      <b val="1"/>
      <color rgb="FF9A3412"/>
      <sz val="16"/>
    </font>
    <font>
      <name val="Carlito"/>
      <b val="1"/>
      <color rgb="FF111827"/>
      <sz val="9"/>
    </font>
    <font>
      <name val="Carlito"/>
      <b val="1"/>
      <color rgb="FFFFFFFF"/>
      <sz val="10"/>
    </font>
    <font>
      <name val="Carlito"/>
      <color rgb="FF374151"/>
      <sz val="11"/>
    </font>
    <font>
      <name val="Carlito"/>
      <b val="1"/>
      <color rgb="FF073B4C"/>
      <sz val="11"/>
    </font>
    <font>
      <name val="Carlito"/>
      <sz val="12"/>
    </font>
    <font>
      <name val="Carlito"/>
      <b val="1"/>
      <color rgb="FFFFFFFF"/>
      <sz val="14"/>
    </font>
    <font>
      <name val="Arial"/>
      <color rgb="FFFFFFFF"/>
      <sz val="9"/>
    </font>
    <font>
      <name val="Arial"/>
      <b val="1"/>
      <color rgb="FFFFFFFF"/>
      <sz val="16"/>
    </font>
    <font>
      <name val="Arial"/>
      <i val="1"/>
      <color rgb="FFE6FFFA"/>
      <sz val="10"/>
    </font>
    <font>
      <name val="Arial"/>
      <b val="1"/>
      <color rgb="FFFFFFFF"/>
      <sz val="10"/>
    </font>
    <font>
      <name val="Arial"/>
      <b val="1"/>
      <color rgb="FFFFFFFF"/>
      <sz val="8"/>
    </font>
    <font>
      <name val="Arial"/>
      <b val="1"/>
      <color rgb="FF0F172A"/>
      <sz val="8"/>
    </font>
    <font>
      <name val="Arial"/>
      <color rgb="FF0F172A"/>
      <sz val="8"/>
    </font>
    <font>
      <name val="Arial"/>
      <b val="1"/>
      <color rgb="FF166534"/>
      <sz val="8"/>
    </font>
    <font>
      <name val="Arial"/>
      <color rgb="FF146C43"/>
      <sz val="9"/>
    </font>
    <font>
      <name val="Carlito"/>
      <color rgb="FF146C43"/>
      <sz val="11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Carlito"/>
      <b val="1"/>
      <color rgb="FF374151"/>
      <sz val="8"/>
    </font>
    <font>
      <name val="Carlito"/>
      <color rgb="FF374151"/>
      <sz val="8"/>
    </font>
    <font>
      <name val="Carlito"/>
      <color rgb="FF0F172A"/>
      <sz val="11"/>
    </font>
    <font>
      <name val="Arial"/>
      <b val="1"/>
      <color rgb="FFFFFFFF"/>
      <sz val="7"/>
    </font>
    <font>
      <name val="Arial"/>
      <b val="1"/>
      <color rgb="FF0F172A"/>
      <sz val="7"/>
    </font>
    <font>
      <name val="Arial"/>
      <color rgb="FF0F172A"/>
      <sz val="7"/>
    </font>
    <font>
      <name val="Arial"/>
      <b val="1"/>
      <color rgb="FF166534"/>
      <sz val="7"/>
    </font>
    <font>
      <b val="1"/>
      <color rgb="00FFFFFF"/>
    </font>
    <font>
      <b val="1"/>
      <color rgb="00FFFFFF"/>
      <sz val="14"/>
    </font>
  </fonts>
  <fills count="56">
    <fill>
      <patternFill/>
    </fill>
    <fill>
      <patternFill patternType="gray125"/>
    </fill>
    <fill>
      <patternFill patternType="solid">
        <fgColor rgb="FF0B6B3A"/>
      </patternFill>
    </fill>
    <fill>
      <patternFill patternType="solid">
        <fgColor rgb="FF073B5B"/>
      </patternFill>
    </fill>
    <fill>
      <patternFill patternType="solid">
        <fgColor rgb="FF16A34A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ECFDF5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0583A3"/>
      </patternFill>
    </fill>
    <fill>
      <patternFill patternType="solid">
        <fgColor rgb="FFF97316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7C3AED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0EA5E9"/>
      </patternFill>
    </fill>
    <fill>
      <patternFill patternType="solid">
        <fgColor rgb="FFFEFCE8"/>
      </patternFill>
    </fill>
    <fill>
      <patternFill patternType="solid">
        <fgColor rgb="FFCA8A04"/>
      </patternFill>
    </fill>
    <fill>
      <patternFill patternType="solid">
        <fgColor rgb="FFF8FAFC"/>
      </patternFill>
    </fill>
    <fill>
      <patternFill patternType="solid">
        <fgColor rgb="FF073B4C"/>
      </patternFill>
    </fill>
    <fill>
      <patternFill patternType="solid">
        <fgColor rgb="FF0B5D7E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0B5D7E"/>
      </patternFill>
    </fill>
    <fill>
      <patternFill patternType="solid">
        <fgColor rgb="FF073B4C"/>
      </patternFill>
    </fill>
    <fill>
      <patternFill patternType="solid">
        <fgColor rgb="FF146C43"/>
      </patternFill>
    </fill>
    <fill>
      <patternFill patternType="solid">
        <fgColor rgb="FF0F5736"/>
      </patternFill>
    </fill>
    <fill>
      <patternFill patternType="solid">
        <fgColor rgb="FF0EA5E9"/>
      </patternFill>
    </fill>
    <fill>
      <patternFill patternType="solid">
        <fgColor rgb="FF06344A"/>
      </patternFill>
    </fill>
    <fill>
      <patternFill patternType="solid">
        <fgColor rgb="FFFFFFFF"/>
      </patternFill>
    </fill>
    <fill>
      <patternFill patternType="solid">
        <fgColor rgb="FFFFF4C7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F97316"/>
      </patternFill>
    </fill>
    <fill>
      <patternFill patternType="solid">
        <fgColor rgb="FFD99A00"/>
      </patternFill>
    </fill>
    <fill>
      <patternFill patternType="solid">
        <fgColor rgb="FFE6F4F1"/>
      </patternFill>
    </fill>
    <fill>
      <patternFill patternType="solid">
        <fgColor rgb="FFE5E7EB"/>
      </patternFill>
    </fill>
    <fill>
      <patternFill patternType="solid">
        <fgColor rgb="FFF8FAFC"/>
      </patternFill>
    </fill>
    <fill>
      <patternFill patternType="solid">
        <fgColor rgb="FF06344A"/>
      </patternFill>
    </fill>
    <fill>
      <patternFill patternType="solid">
        <fgColor rgb="FFFFFFFF"/>
      </patternFill>
    </fill>
    <fill>
      <patternFill patternType="solid">
        <fgColor rgb="FFFFF4C7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F97316"/>
      </patternFill>
    </fill>
    <fill>
      <patternFill patternType="solid">
        <fgColor rgb="FFD99A00"/>
      </patternFill>
    </fill>
    <fill>
      <patternFill patternType="solid">
        <fgColor rgb="FFE6F4F1"/>
      </patternFill>
    </fill>
    <fill>
      <patternFill patternType="solid">
        <fgColor rgb="FF0EA5E9"/>
      </patternFill>
    </fill>
    <fill>
      <patternFill patternType="solid">
        <fgColor rgb="FF073B4C"/>
      </patternFill>
    </fill>
    <fill>
      <patternFill patternType="solid">
        <fgColor rgb="FF0F5736"/>
      </patternFill>
    </fill>
    <fill>
      <patternFill patternType="solid">
        <fgColor rgb="000B5D7E"/>
      </patternFill>
    </fill>
    <fill>
      <patternFill patternType="solid">
        <fgColor rgb="00073B4C"/>
      </patternFill>
    </fill>
    <fill>
      <patternFill patternType="solid">
        <fgColor rgb="00F8FAFC"/>
      </patternFill>
    </fill>
  </fills>
  <borders count="2">
    <border/>
    <border/>
  </borders>
  <cellStyleXfs count="1">
    <xf numFmtId="0" fontId="0" fillId="0" borderId="1"/>
  </cellStyleXfs>
  <cellXfs count="4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3" fillId="3" borderId="0" pivotButton="0" quotePrefix="0" xfId="0"/>
    <xf numFmtId="0" fontId="3" fillId="3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horizontal="center"/>
    </xf>
    <xf numFmtId="0" fontId="0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horizontal="center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horizontal="center"/>
    </xf>
    <xf numFmtId="0" fontId="0" fillId="5" borderId="0" pivotButton="0" quotePrefix="0" xfId="0"/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horizontal="center" wrapText="1"/>
    </xf>
    <xf numFmtId="0" fontId="8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8" fillId="5" borderId="1" pivotButton="0" quotePrefix="0" xfId="0"/>
    <xf numFmtId="0" fontId="8" fillId="5" borderId="1" applyAlignment="1" pivotButton="0" quotePrefix="0" xfId="0">
      <alignment wrapText="1"/>
    </xf>
    <xf numFmtId="0" fontId="8" fillId="5" borderId="1" applyAlignment="1" pivotButton="0" quotePrefix="0" xfId="0">
      <alignment horizontal="center" wrapText="1"/>
    </xf>
    <xf numFmtId="0" fontId="8" fillId="5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8" fillId="8" borderId="0" pivotButton="0" quotePrefix="0" xfId="0"/>
    <xf numFmtId="0" fontId="8" fillId="8" borderId="0" applyAlignment="1" pivotButton="0" quotePrefix="0" xfId="0">
      <alignment wrapText="1"/>
    </xf>
    <xf numFmtId="0" fontId="8" fillId="8" borderId="0" applyAlignment="1" pivotButton="0" quotePrefix="0" xfId="0">
      <alignment horizontal="center" wrapText="1"/>
    </xf>
    <xf numFmtId="0" fontId="8" fillId="8" borderId="0" applyAlignment="1" pivotButton="0" quotePrefix="0" xfId="0">
      <alignment horizontal="center" vertical="center" wrapText="1"/>
    </xf>
    <xf numFmtId="0" fontId="0" fillId="8" borderId="1" pivotButton="0" quotePrefix="0" xfId="0"/>
    <xf numFmtId="0" fontId="8" fillId="8" borderId="1" pivotButton="0" quotePrefix="0" xfId="0"/>
    <xf numFmtId="0" fontId="8" fillId="8" borderId="1" applyAlignment="1" pivotButton="0" quotePrefix="0" xfId="0">
      <alignment wrapText="1"/>
    </xf>
    <xf numFmtId="0" fontId="8" fillId="8" borderId="1" applyAlignment="1" pivotButton="0" quotePrefix="0" xfId="0">
      <alignment horizont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3" borderId="0" pivotButton="0" quotePrefix="0" xfId="0"/>
    <xf numFmtId="0" fontId="10" fillId="3" borderId="0" applyAlignment="1" pivotButton="0" quotePrefix="0" xfId="0">
      <alignment horizontal="center"/>
    </xf>
    <xf numFmtId="0" fontId="10" fillId="3" borderId="1" pivotButton="0" quotePrefix="0" xfId="0"/>
    <xf numFmtId="0" fontId="10" fillId="3" borderId="1" applyAlignment="1" pivotButton="0" quotePrefix="0" xfId="0">
      <alignment horizontal="center"/>
    </xf>
    <xf numFmtId="0" fontId="4" fillId="6" borderId="0" pivotButton="0" quotePrefix="0" xfId="0"/>
    <xf numFmtId="0" fontId="4" fillId="6" borderId="0" applyAlignment="1" pivotButton="0" quotePrefix="0" xfId="0">
      <alignment horizontal="center"/>
    </xf>
    <xf numFmtId="0" fontId="4" fillId="6" borderId="1" pivotButton="0" quotePrefix="0" xfId="0"/>
    <xf numFmtId="0" fontId="4" fillId="6" borderId="1" applyAlignment="1" pivotButton="0" quotePrefix="0" xfId="0">
      <alignment horizontal="center"/>
    </xf>
    <xf numFmtId="0" fontId="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wrapText="1"/>
    </xf>
    <xf numFmtId="0" fontId="3" fillId="10" borderId="0" applyAlignment="1" pivotButton="0" quotePrefix="0" xfId="0">
      <alignment horizontal="center" wrapText="1"/>
    </xf>
    <xf numFmtId="0" fontId="3" fillId="10" borderId="0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0" borderId="1" pivotButton="0" quotePrefix="0" xfId="0"/>
    <xf numFmtId="0" fontId="3" fillId="10" borderId="1" applyAlignment="1" pivotButton="0" quotePrefix="0" xfId="0">
      <alignment wrapText="1"/>
    </xf>
    <xf numFmtId="0" fontId="3" fillId="10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horizontal="center"/>
    </xf>
    <xf numFmtId="0" fontId="0" fillId="9" borderId="1" pivotButton="0" quotePrefix="0" xfId="0"/>
    <xf numFmtId="0" fontId="6" fillId="9" borderId="1" pivotButton="0" quotePrefix="0" xfId="0"/>
    <xf numFmtId="0" fontId="6" fillId="9" borderId="1" applyAlignment="1" pivotButton="0" quotePrefix="0" xfId="0">
      <alignment horizontal="center"/>
    </xf>
    <xf numFmtId="0" fontId="0" fillId="11" borderId="0" pivotButton="0" quotePrefix="0" xfId="0"/>
    <xf numFmtId="0" fontId="11" fillId="11" borderId="0" pivotButton="0" quotePrefix="0" xfId="0"/>
    <xf numFmtId="0" fontId="11" fillId="11" borderId="0" applyAlignment="1" pivotButton="0" quotePrefix="0" xfId="0">
      <alignment horizontal="center"/>
    </xf>
    <xf numFmtId="0" fontId="0" fillId="11" borderId="1" pivotButton="0" quotePrefix="0" xfId="0"/>
    <xf numFmtId="0" fontId="11" fillId="11" borderId="1" pivotButton="0" quotePrefix="0" xfId="0"/>
    <xf numFmtId="0" fontId="11" fillId="11" borderId="1" applyAlignment="1" pivotButton="0" quotePrefix="0" xfId="0">
      <alignment horizontal="center"/>
    </xf>
    <xf numFmtId="0" fontId="0" fillId="12" borderId="0" pivotButton="0" quotePrefix="0" xfId="0"/>
    <xf numFmtId="0" fontId="12" fillId="12" borderId="0" pivotButton="0" quotePrefix="0" xfId="0"/>
    <xf numFmtId="0" fontId="12" fillId="12" borderId="0" applyAlignment="1" pivotButton="0" quotePrefix="0" xfId="0">
      <alignment wrapText="1"/>
    </xf>
    <xf numFmtId="0" fontId="12" fillId="12" borderId="0" applyAlignment="1" pivotButton="0" quotePrefix="0" xfId="0">
      <alignment horizontal="center" wrapText="1"/>
    </xf>
    <xf numFmtId="0" fontId="12" fillId="12" borderId="0" applyAlignment="1" pivotButton="0" quotePrefix="0" xfId="0">
      <alignment horizontal="center" vertical="center" wrapText="1"/>
    </xf>
    <xf numFmtId="0" fontId="0" fillId="12" borderId="1" pivotButton="0" quotePrefix="0" xfId="0"/>
    <xf numFmtId="0" fontId="12" fillId="12" borderId="1" pivotButton="0" quotePrefix="0" xfId="0"/>
    <xf numFmtId="0" fontId="12" fillId="12" borderId="1" applyAlignment="1" pivotButton="0" quotePrefix="0" xfId="0">
      <alignment wrapText="1"/>
    </xf>
    <xf numFmtId="0" fontId="12" fillId="12" borderId="1" applyAlignment="1" pivotButton="0" quotePrefix="0" xfId="0">
      <alignment horizontal="center" wrapText="1"/>
    </xf>
    <xf numFmtId="0" fontId="12" fillId="1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9" fontId="0" fillId="0" borderId="0" pivotButton="0" quotePrefix="0" xfId="0"/>
    <xf numFmtId="9" fontId="0" fillId="0" borderId="1" pivotButton="0" quotePrefix="0" xfId="0"/>
    <xf numFmtId="0" fontId="0" fillId="13" borderId="0" pivotButton="0" quotePrefix="0" xfId="0"/>
    <xf numFmtId="9" fontId="0" fillId="13" borderId="0" pivotButton="0" quotePrefix="0" xfId="0"/>
    <xf numFmtId="0" fontId="4" fillId="13" borderId="0" pivotButton="0" quotePrefix="0" xfId="0"/>
    <xf numFmtId="9" fontId="4" fillId="13" borderId="0" pivotButton="0" quotePrefix="0" xfId="0"/>
    <xf numFmtId="0" fontId="4" fillId="13" borderId="0" applyAlignment="1" pivotButton="0" quotePrefix="0" xfId="0">
      <alignment horizontal="center"/>
    </xf>
    <xf numFmtId="9" fontId="4" fillId="13" borderId="0" applyAlignment="1" pivotButton="0" quotePrefix="0" xfId="0">
      <alignment horizontal="center"/>
    </xf>
    <xf numFmtId="0" fontId="0" fillId="13" borderId="1" pivotButton="0" quotePrefix="0" xfId="0"/>
    <xf numFmtId="9" fontId="0" fillId="13" borderId="1" pivotButton="0" quotePrefix="0" xfId="0"/>
    <xf numFmtId="0" fontId="4" fillId="13" borderId="1" pivotButton="0" quotePrefix="0" xfId="0"/>
    <xf numFmtId="9" fontId="4" fillId="13" borderId="1" pivotButton="0" quotePrefix="0" xfId="0"/>
    <xf numFmtId="0" fontId="4" fillId="13" borderId="1" applyAlignment="1" pivotButton="0" quotePrefix="0" xfId="0">
      <alignment horizontal="center"/>
    </xf>
    <xf numFmtId="9" fontId="4" fillId="13" borderId="1" applyAlignment="1" pivotButton="0" quotePrefix="0" xfId="0">
      <alignment horizontal="center"/>
    </xf>
    <xf numFmtId="0" fontId="0" fillId="14" borderId="0" pivotButton="0" quotePrefix="0" xfId="0"/>
    <xf numFmtId="0" fontId="2" fillId="14" borderId="0" pivotButton="0" quotePrefix="0" xfId="0"/>
    <xf numFmtId="0" fontId="2" fillId="14" borderId="0" applyAlignment="1" pivotButton="0" quotePrefix="0" xfId="0">
      <alignment horizontal="center"/>
    </xf>
    <xf numFmtId="0" fontId="0" fillId="14" borderId="1" pivotButton="0" quotePrefix="0" xfId="0"/>
    <xf numFmtId="0" fontId="2" fillId="14" borderId="1" pivotButton="0" quotePrefix="0" xfId="0"/>
    <xf numFmtId="0" fontId="2" fillId="14" borderId="1" applyAlignment="1" pivotButton="0" quotePrefix="0" xfId="0">
      <alignment horizontal="center"/>
    </xf>
    <xf numFmtId="0" fontId="0" fillId="15" borderId="0" pivotButton="0" quotePrefix="0" xfId="0"/>
    <xf numFmtId="0" fontId="13" fillId="15" borderId="0" pivotButton="0" quotePrefix="0" xfId="0"/>
    <xf numFmtId="0" fontId="13" fillId="15" borderId="0" applyAlignment="1" pivotButton="0" quotePrefix="0" xfId="0">
      <alignment horizontal="center"/>
    </xf>
    <xf numFmtId="0" fontId="13" fillId="15" borderId="0" applyAlignment="1" pivotButton="0" quotePrefix="0" xfId="0">
      <alignment horizontal="center" vertical="center"/>
    </xf>
    <xf numFmtId="0" fontId="0" fillId="15" borderId="1" pivotButton="0" quotePrefix="0" xfId="0"/>
    <xf numFmtId="0" fontId="13" fillId="15" borderId="1" pivotButton="0" quotePrefix="0" xfId="0"/>
    <xf numFmtId="0" fontId="13" fillId="15" borderId="1" applyAlignment="1" pivotButton="0" quotePrefix="0" xfId="0">
      <alignment horizontal="center"/>
    </xf>
    <xf numFmtId="0" fontId="13" fillId="15" borderId="1" applyAlignment="1" pivotButton="0" quotePrefix="0" xfId="0">
      <alignment horizontal="center" vertical="center"/>
    </xf>
    <xf numFmtId="0" fontId="9" fillId="9" borderId="0" pivotButton="0" quotePrefix="0" xfId="0"/>
    <xf numFmtId="0" fontId="9" fillId="9" borderId="0" applyAlignment="1" pivotButton="0" quotePrefix="0" xfId="0">
      <alignment wrapText="1"/>
    </xf>
    <xf numFmtId="0" fontId="9" fillId="9" borderId="0" applyAlignment="1" pivotButton="0" quotePrefix="0" xfId="0">
      <alignment horizontal="center" wrapText="1"/>
    </xf>
    <xf numFmtId="0" fontId="9" fillId="9" borderId="1" pivotButton="0" quotePrefix="0" xfId="0"/>
    <xf numFmtId="0" fontId="9" fillId="9" borderId="1" applyAlignment="1" pivotButton="0" quotePrefix="0" xfId="0">
      <alignment wrapText="1"/>
    </xf>
    <xf numFmtId="0" fontId="9" fillId="9" borderId="1" applyAlignment="1" pivotButton="0" quotePrefix="0" xfId="0">
      <alignment horizontal="center" wrapText="1"/>
    </xf>
    <xf numFmtId="0" fontId="14" fillId="3" borderId="0" pivotButton="0" quotePrefix="0" xfId="0"/>
    <xf numFmtId="0" fontId="14" fillId="3" borderId="0" applyAlignment="1" pivotButton="0" quotePrefix="0" xfId="0">
      <alignment horizontal="center"/>
    </xf>
    <xf numFmtId="0" fontId="14" fillId="3" borderId="0" applyAlignment="1" pivotButton="0" quotePrefix="0" xfId="0">
      <alignment horizontal="center" vertical="center"/>
    </xf>
    <xf numFmtId="0" fontId="14" fillId="3" borderId="1" pivotButton="0" quotePrefix="0" xfId="0"/>
    <xf numFmtId="0" fontId="14" fillId="3" borderId="1" applyAlignment="1" pivotButton="0" quotePrefix="0" xfId="0">
      <alignment horizontal="center"/>
    </xf>
    <xf numFmtId="0" fontId="14" fillId="3" borderId="1" applyAlignment="1" pivotButton="0" quotePrefix="0" xfId="0">
      <alignment horizontal="center" vertical="center"/>
    </xf>
    <xf numFmtId="0" fontId="0" fillId="16" borderId="0" pivotButton="0" quotePrefix="0" xfId="0"/>
    <xf numFmtId="0" fontId="8" fillId="16" borderId="0" pivotButton="0" quotePrefix="0" xfId="0"/>
    <xf numFmtId="0" fontId="8" fillId="16" borderId="0" applyAlignment="1" pivotButton="0" quotePrefix="0" xfId="0">
      <alignment wrapText="1"/>
    </xf>
    <xf numFmtId="0" fontId="8" fillId="16" borderId="0" applyAlignment="1" pivotButton="0" quotePrefix="0" xfId="0">
      <alignment horizontal="left" wrapText="1"/>
    </xf>
    <xf numFmtId="0" fontId="8" fillId="16" borderId="0" applyAlignment="1" pivotButton="0" quotePrefix="0" xfId="0">
      <alignment horizontal="left" vertical="center" wrapText="1"/>
    </xf>
    <xf numFmtId="0" fontId="0" fillId="16" borderId="1" pivotButton="0" quotePrefix="0" xfId="0"/>
    <xf numFmtId="0" fontId="8" fillId="16" borderId="1" pivotButton="0" quotePrefix="0" xfId="0"/>
    <xf numFmtId="0" fontId="8" fillId="16" borderId="1" applyAlignment="1" pivotButton="0" quotePrefix="0" xfId="0">
      <alignment wrapText="1"/>
    </xf>
    <xf numFmtId="0" fontId="8" fillId="16" borderId="1" applyAlignment="1" pivotButton="0" quotePrefix="0" xfId="0">
      <alignment horizontal="left" wrapText="1"/>
    </xf>
    <xf numFmtId="0" fontId="8" fillId="16" borderId="1" applyAlignment="1" pivotButton="0" quotePrefix="0" xfId="0">
      <alignment horizontal="left" vertical="center" wrapText="1"/>
    </xf>
    <xf numFmtId="0" fontId="9" fillId="5" borderId="0" pivotButton="0" quotePrefix="0" xfId="0"/>
    <xf numFmtId="0" fontId="9" fillId="5" borderId="0" applyAlignment="1" pivotButton="0" quotePrefix="0" xfId="0">
      <alignment horizontal="center"/>
    </xf>
    <xf numFmtId="0" fontId="9" fillId="5" borderId="0" applyAlignment="1" pivotButton="0" quotePrefix="0" xfId="0">
      <alignment horizontal="center" vertical="center"/>
    </xf>
    <xf numFmtId="0" fontId="9" fillId="5" borderId="1" pivotButton="0" quotePrefix="0" xfId="0"/>
    <xf numFmtId="0" fontId="9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center"/>
    </xf>
    <xf numFmtId="0" fontId="14" fillId="11" borderId="0" pivotButton="0" quotePrefix="0" xfId="0"/>
    <xf numFmtId="0" fontId="14" fillId="11" borderId="0" applyAlignment="1" pivotButton="0" quotePrefix="0" xfId="0">
      <alignment horizontal="center"/>
    </xf>
    <xf numFmtId="0" fontId="14" fillId="11" borderId="0" applyAlignment="1" pivotButton="0" quotePrefix="0" xfId="0">
      <alignment horizontal="center" vertical="center"/>
    </xf>
    <xf numFmtId="0" fontId="14" fillId="11" borderId="1" pivotButton="0" quotePrefix="0" xfId="0"/>
    <xf numFmtId="0" fontId="14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center"/>
    </xf>
    <xf numFmtId="0" fontId="0" fillId="17" borderId="1" pivotButton="0" quotePrefix="0" xfId="0"/>
    <xf numFmtId="0" fontId="3" fillId="17" borderId="1" pivotButton="0" quotePrefix="0" xfId="0"/>
    <xf numFmtId="0" fontId="3" fillId="17" borderId="1" applyAlignment="1" pivotButton="0" quotePrefix="0" xfId="0">
      <alignment horizontal="center"/>
    </xf>
    <xf numFmtId="0" fontId="14" fillId="12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4" fillId="18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left" vertical="center" wrapText="1"/>
    </xf>
    <xf numFmtId="0" fontId="9" fillId="18" borderId="0" applyAlignment="1" pivotButton="0" quotePrefix="0" xfId="0">
      <alignment horizontal="center" vertical="center"/>
    </xf>
    <xf numFmtId="0" fontId="13" fillId="18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 wrapText="1"/>
    </xf>
    <xf numFmtId="0" fontId="9" fillId="18" borderId="0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9" fillId="19" borderId="0" applyAlignment="1" pivotButton="0" quotePrefix="0" xfId="0">
      <alignment horizontal="center" vertical="center" wrapText="1"/>
    </xf>
    <xf numFmtId="0" fontId="14" fillId="19" borderId="0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0" fillId="20" borderId="0" pivotButton="0" quotePrefix="0" xfId="0"/>
    <xf numFmtId="0" fontId="6" fillId="20" borderId="0" pivotButton="0" quotePrefix="0" xfId="0"/>
    <xf numFmtId="0" fontId="6" fillId="20" borderId="0" applyAlignment="1" pivotButton="0" quotePrefix="0" xfId="0">
      <alignment wrapText="1"/>
    </xf>
    <xf numFmtId="0" fontId="6" fillId="20" borderId="0" applyAlignment="1" pivotButton="0" quotePrefix="0" xfId="0">
      <alignment vertical="top" wrapText="1"/>
    </xf>
    <xf numFmtId="0" fontId="0" fillId="20" borderId="1" pivotButton="0" quotePrefix="0" xfId="0"/>
    <xf numFmtId="0" fontId="6" fillId="20" borderId="1" pivotButton="0" quotePrefix="0" xfId="0"/>
    <xf numFmtId="0" fontId="6" fillId="20" borderId="1" applyAlignment="1" pivotButton="0" quotePrefix="0" xfId="0">
      <alignment wrapText="1"/>
    </xf>
    <xf numFmtId="0" fontId="6" fillId="20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6" fillId="20" borderId="0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0" borderId="1" applyAlignment="1" pivotButton="0" quotePrefix="0" xfId="0">
      <alignment vertical="center" wrapText="1"/>
    </xf>
    <xf numFmtId="0" fontId="6" fillId="9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9" fontId="4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0" fillId="21" borderId="0" pivotButton="0" quotePrefix="0" xfId="0"/>
    <xf numFmtId="0" fontId="10" fillId="21" borderId="0" pivotButton="0" quotePrefix="0" xfId="0"/>
    <xf numFmtId="0" fontId="10" fillId="21" borderId="0" applyAlignment="1" pivotButton="0" quotePrefix="0" xfId="0">
      <alignment horizontal="center"/>
    </xf>
    <xf numFmtId="0" fontId="10" fillId="21" borderId="0" applyAlignment="1" pivotButton="0" quotePrefix="0" xfId="0">
      <alignment horizontal="center" vertical="center"/>
    </xf>
    <xf numFmtId="0" fontId="0" fillId="22" borderId="0" pivotButton="0" quotePrefix="0" xfId="0"/>
    <xf numFmtId="0" fontId="3" fillId="22" borderId="0" pivotButton="0" quotePrefix="0" xfId="0"/>
    <xf numFmtId="0" fontId="3" fillId="22" borderId="0" applyAlignment="1" pivotButton="0" quotePrefix="0" xfId="0">
      <alignment wrapText="1"/>
    </xf>
    <xf numFmtId="0" fontId="3" fillId="22" borderId="0" applyAlignment="1" pivotButton="0" quotePrefix="0" xfId="0">
      <alignment horizontal="center" wrapText="1"/>
    </xf>
    <xf numFmtId="0" fontId="3" fillId="22" borderId="0" applyAlignment="1" pivotButton="0" quotePrefix="0" xfId="0">
      <alignment horizontal="center" vertical="center" wrapText="1"/>
    </xf>
    <xf numFmtId="0" fontId="0" fillId="23" borderId="0" pivotButton="0" quotePrefix="0" xfId="0"/>
    <xf numFmtId="0" fontId="15" fillId="23" borderId="0" pivotButton="0" quotePrefix="0" xfId="0"/>
    <xf numFmtId="0" fontId="15" fillId="23" borderId="0" applyAlignment="1" pivotButton="0" quotePrefix="0" xfId="0">
      <alignment wrapText="1"/>
    </xf>
    <xf numFmtId="0" fontId="0" fillId="24" borderId="0" pivotButton="0" quotePrefix="0" xfId="0"/>
    <xf numFmtId="0" fontId="0" fillId="24" borderId="0" applyAlignment="1" pivotButton="0" quotePrefix="0" xfId="0">
      <alignment horizontal="center"/>
    </xf>
    <xf numFmtId="0" fontId="0" fillId="24" borderId="0" applyAlignment="1" pivotButton="0" quotePrefix="0" xfId="0">
      <alignment horizontal="center" vertical="center"/>
    </xf>
    <xf numFmtId="0" fontId="0" fillId="25" borderId="0" pivotButton="0" quotePrefix="0" xfId="0"/>
    <xf numFmtId="0" fontId="0" fillId="25" borderId="0" applyAlignment="1" pivotButton="0" quotePrefix="0" xfId="0">
      <alignment vertical="center"/>
    </xf>
    <xf numFmtId="0" fontId="10" fillId="21" borderId="0" applyAlignment="1" pivotButton="0" quotePrefix="0" xfId="0">
      <alignment horizontal="center" vertical="center" wrapText="1"/>
    </xf>
    <xf numFmtId="0" fontId="0" fillId="25" borderId="0" applyAlignment="1" pivotButton="0" quotePrefix="0" xfId="0">
      <alignment vertical="center" wrapText="1"/>
    </xf>
    <xf numFmtId="0" fontId="0" fillId="26" borderId="0" pivotButton="0" quotePrefix="0" xfId="0"/>
    <xf numFmtId="0" fontId="16" fillId="26" borderId="0" pivotButton="0" quotePrefix="0" xfId="0"/>
    <xf numFmtId="0" fontId="16" fillId="26" borderId="0" applyAlignment="1" pivotButton="0" quotePrefix="0" xfId="0">
      <alignment horizontal="center"/>
    </xf>
    <xf numFmtId="0" fontId="16" fillId="26" borderId="0" applyAlignment="1" pivotButton="0" quotePrefix="0" xfId="0">
      <alignment horizontal="center" vertical="center"/>
    </xf>
    <xf numFmtId="0" fontId="15" fillId="15" borderId="0" pivotButton="0" quotePrefix="0" xfId="0"/>
    <xf numFmtId="0" fontId="15" fillId="15" borderId="0" applyAlignment="1" pivotButton="0" quotePrefix="0" xfId="0">
      <alignment wrapText="1"/>
    </xf>
    <xf numFmtId="0" fontId="3" fillId="27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17" fillId="0" borderId="0" applyAlignment="1" pivotButton="0" quotePrefix="0" xfId="0">
      <alignment horizontal="center"/>
    </xf>
    <xf numFmtId="0" fontId="10" fillId="28" borderId="0" applyAlignment="1" pivotButton="0" quotePrefix="0" xfId="0">
      <alignment horizontal="center" vertical="center" wrapText="1"/>
    </xf>
    <xf numFmtId="0" fontId="18" fillId="28" borderId="0" applyAlignment="1" pivotButton="0" quotePrefix="0" xfId="0">
      <alignment horizontal="center" vertical="center" wrapText="1"/>
    </xf>
    <xf numFmtId="0" fontId="0" fillId="27" borderId="0" applyAlignment="1" pivotButton="0" quotePrefix="0" xfId="0">
      <alignment vertical="center"/>
    </xf>
    <xf numFmtId="0" fontId="3" fillId="27" borderId="0" applyAlignment="1" pivotButton="0" quotePrefix="0" xfId="0">
      <alignment vertical="center"/>
    </xf>
    <xf numFmtId="0" fontId="3" fillId="2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9" borderId="0" pivotButton="0" quotePrefix="0" xfId="0"/>
    <xf numFmtId="0" fontId="19" fillId="29" borderId="0" pivotButton="0" quotePrefix="0" xfId="0"/>
    <xf numFmtId="0" fontId="19" fillId="29" borderId="0" applyAlignment="1" pivotButton="0" quotePrefix="0" xfId="0">
      <alignment horizontal="center"/>
    </xf>
    <xf numFmtId="0" fontId="19" fillId="29" borderId="0" applyAlignment="1" pivotButton="0" quotePrefix="0" xfId="0">
      <alignment horizontal="center" vertical="center"/>
    </xf>
    <xf numFmtId="0" fontId="19" fillId="28" borderId="0" applyAlignment="1" pivotButton="0" quotePrefix="0" xfId="0">
      <alignment horizontal="center" vertical="center"/>
    </xf>
    <xf numFmtId="0" fontId="20" fillId="28" borderId="0" applyAlignment="1" pivotButton="0" quotePrefix="0" xfId="0">
      <alignment horizontal="center" vertical="center"/>
    </xf>
    <xf numFmtId="0" fontId="19" fillId="30" borderId="0" applyAlignment="1" pivotButton="0" quotePrefix="0" xfId="0">
      <alignment horizontal="center" vertical="center"/>
    </xf>
    <xf numFmtId="0" fontId="21" fillId="30" borderId="0" applyAlignment="1" pivotButton="0" quotePrefix="0" xfId="0">
      <alignment horizontal="center" vertical="center"/>
    </xf>
    <xf numFmtId="0" fontId="19" fillId="31" borderId="0" applyAlignment="1" pivotButton="0" quotePrefix="0" xfId="0">
      <alignment horizontal="center" vertical="center"/>
    </xf>
    <xf numFmtId="0" fontId="22" fillId="31" borderId="0" applyAlignment="1" pivotButton="0" quotePrefix="0" xfId="0">
      <alignment horizontal="center" vertical="center"/>
    </xf>
    <xf numFmtId="0" fontId="19" fillId="32" borderId="0" applyAlignment="1" pivotButton="0" quotePrefix="0" xfId="0">
      <alignment horizontal="center" vertical="center"/>
    </xf>
    <xf numFmtId="0" fontId="23" fillId="32" borderId="0" applyAlignment="1" pivotButton="0" quotePrefix="0" xfId="0">
      <alignment horizontal="center" vertical="center"/>
    </xf>
    <xf numFmtId="0" fontId="19" fillId="33" borderId="0" applyAlignment="1" pivotButton="0" quotePrefix="0" xfId="0">
      <alignment horizontal="center" vertical="center"/>
    </xf>
    <xf numFmtId="0" fontId="24" fillId="33" borderId="0" applyAlignment="1" pivotButton="0" quotePrefix="0" xfId="0">
      <alignment horizontal="center" vertical="center"/>
    </xf>
    <xf numFmtId="0" fontId="24" fillId="33" borderId="0" applyAlignment="1" pivotButton="0" quotePrefix="0" xfId="0">
      <alignment horizontal="left" vertical="center"/>
    </xf>
    <xf numFmtId="0" fontId="24" fillId="34" borderId="0" applyAlignment="1" pivotButton="0" quotePrefix="0" xfId="0">
      <alignment horizontal="left" vertical="center"/>
    </xf>
    <xf numFmtId="0" fontId="24" fillId="34" borderId="0" applyAlignment="1" pivotButton="0" quotePrefix="0" xfId="0">
      <alignment horizontal="center" vertical="center"/>
    </xf>
    <xf numFmtId="0" fontId="19" fillId="35" borderId="0" applyAlignment="1" pivotButton="0" quotePrefix="0" xfId="0">
      <alignment horizontal="center" vertical="center"/>
    </xf>
    <xf numFmtId="0" fontId="25" fillId="35" borderId="0" applyAlignment="1" pivotButton="0" quotePrefix="0" xfId="0">
      <alignment horizontal="center" vertical="center"/>
    </xf>
    <xf numFmtId="0" fontId="19" fillId="36" borderId="0" applyAlignment="1" pivotButton="0" quotePrefix="0" xfId="0">
      <alignment horizontal="center" vertical="center"/>
    </xf>
    <xf numFmtId="0" fontId="26" fillId="36" borderId="0" applyAlignment="1" pivotButton="0" quotePrefix="0" xfId="0">
      <alignment horizontal="center" vertical="center"/>
    </xf>
    <xf numFmtId="0" fontId="27" fillId="29" borderId="0" applyAlignment="1" pivotButton="0" quotePrefix="0" xfId="0">
      <alignment horizontal="center" vertical="center"/>
    </xf>
    <xf numFmtId="0" fontId="19" fillId="37" borderId="0" applyAlignment="1" pivotButton="0" quotePrefix="0" xfId="0">
      <alignment horizontal="center" vertical="center"/>
    </xf>
    <xf numFmtId="0" fontId="23" fillId="37" borderId="0" applyAlignment="1" pivotButton="0" quotePrefix="0" xfId="0">
      <alignment horizontal="center" vertical="center"/>
    </xf>
    <xf numFmtId="0" fontId="19" fillId="38" borderId="0" applyAlignment="1" pivotButton="0" quotePrefix="0" xfId="0">
      <alignment horizontal="center" vertical="center"/>
    </xf>
    <xf numFmtId="0" fontId="23" fillId="38" borderId="0" applyAlignment="1" pivotButton="0" quotePrefix="0" xfId="0">
      <alignment horizontal="center" vertical="center"/>
    </xf>
    <xf numFmtId="0" fontId="28" fillId="29" borderId="0" pivotButton="0" quotePrefix="0" xfId="0"/>
    <xf numFmtId="0" fontId="29" fillId="37" borderId="0" applyAlignment="1" pivotButton="0" quotePrefix="0" xfId="0">
      <alignment horizontal="center" vertical="center"/>
    </xf>
    <xf numFmtId="0" fontId="30" fillId="32" borderId="0" applyAlignment="1" pivotButton="0" quotePrefix="0" xfId="0">
      <alignment horizontal="center" vertical="center"/>
    </xf>
    <xf numFmtId="9" fontId="19" fillId="29" borderId="0" applyAlignment="1" pivotButton="0" quotePrefix="0" xfId="0">
      <alignment horizontal="center" vertical="center"/>
    </xf>
    <xf numFmtId="0" fontId="19" fillId="39" borderId="0" applyAlignment="1" pivotButton="0" quotePrefix="0" xfId="0">
      <alignment horizontal="center" vertical="center"/>
    </xf>
    <xf numFmtId="9" fontId="19" fillId="39" borderId="0" applyAlignment="1" pivotButton="0" quotePrefix="0" xfId="0">
      <alignment horizontal="center" vertical="center"/>
    </xf>
    <xf numFmtId="0" fontId="25" fillId="39" borderId="0" applyAlignment="1" pivotButton="0" quotePrefix="0" xfId="0">
      <alignment horizontal="center" vertical="center"/>
    </xf>
    <xf numFmtId="9" fontId="25" fillId="39" borderId="0" applyAlignment="1" pivotButton="0" quotePrefix="0" xfId="0">
      <alignment horizontal="center" vertical="center"/>
    </xf>
    <xf numFmtId="0" fontId="9" fillId="40" borderId="0" applyAlignment="1" pivotButton="0" quotePrefix="0" xfId="0">
      <alignment horizontal="center" vertical="center"/>
    </xf>
    <xf numFmtId="0" fontId="31" fillId="40" borderId="0" applyAlignment="1" pivotButton="0" quotePrefix="0" xfId="0">
      <alignment horizontal="center" vertical="center"/>
    </xf>
    <xf numFmtId="0" fontId="8" fillId="40" borderId="0" applyAlignment="1" pivotButton="0" quotePrefix="0" xfId="0">
      <alignment horizontal="center" vertical="center" wrapText="1"/>
    </xf>
    <xf numFmtId="0" fontId="32" fillId="40" borderId="0" applyAlignment="1" pivotButton="0" quotePrefix="0" xfId="0">
      <alignment horizontal="center" vertical="center" wrapText="1"/>
    </xf>
    <xf numFmtId="0" fontId="9" fillId="40" borderId="0" applyAlignment="1" pivotButton="0" quotePrefix="0" xfId="0">
      <alignment horizontal="center" vertical="center" wrapText="1"/>
    </xf>
    <xf numFmtId="0" fontId="31" fillId="40" borderId="0" applyAlignment="1" pivotButton="0" quotePrefix="0" xfId="0">
      <alignment horizontal="center" vertical="center" wrapText="1"/>
    </xf>
    <xf numFmtId="0" fontId="0" fillId="27" borderId="0" pivotButton="0" quotePrefix="0" xfId="0"/>
    <xf numFmtId="0" fontId="3" fillId="27" borderId="0" pivotButton="0" quotePrefix="0" xfId="0"/>
    <xf numFmtId="0" fontId="3" fillId="27" borderId="0" applyAlignment="1" pivotButton="0" quotePrefix="0" xfId="0">
      <alignment horizontal="left"/>
    </xf>
    <xf numFmtId="0" fontId="3" fillId="27" borderId="0" applyAlignment="1" pivotButton="0" quotePrefix="0" xfId="0">
      <alignment horizontal="left" vertical="center"/>
    </xf>
    <xf numFmtId="0" fontId="0" fillId="41" borderId="0" pivotButton="0" quotePrefix="0" xfId="0"/>
    <xf numFmtId="0" fontId="0" fillId="41" borderId="0" applyAlignment="1" pivotButton="0" quotePrefix="0" xfId="0">
      <alignment vertical="center"/>
    </xf>
    <xf numFmtId="0" fontId="33" fillId="41" borderId="0" pivotButton="0" quotePrefix="0" xfId="0"/>
    <xf numFmtId="0" fontId="33" fillId="41" borderId="0" applyAlignment="1" pivotButton="0" quotePrefix="0" xfId="0">
      <alignment vertical="center"/>
    </xf>
    <xf numFmtId="0" fontId="33" fillId="41" borderId="0" applyAlignment="1" pivotButton="0" quotePrefix="0" xfId="0">
      <alignment horizontal="left"/>
    </xf>
    <xf numFmtId="0" fontId="33" fillId="41" borderId="0" applyAlignment="1" pivotButton="0" quotePrefix="0" xfId="0">
      <alignment horizontal="left" vertical="center"/>
    </xf>
    <xf numFmtId="0" fontId="18" fillId="21" borderId="0" applyAlignment="1" pivotButton="0" quotePrefix="0" xfId="0">
      <alignment horizontal="center" vertical="center" wrapText="1"/>
    </xf>
    <xf numFmtId="0" fontId="0" fillId="22" borderId="0" applyAlignment="1" pivotButton="0" quotePrefix="0" xfId="0">
      <alignment vertical="center"/>
    </xf>
    <xf numFmtId="0" fontId="3" fillId="22" borderId="0" applyAlignment="1" pivotButton="0" quotePrefix="0" xfId="0">
      <alignment vertical="center"/>
    </xf>
    <xf numFmtId="0" fontId="3" fillId="22" borderId="0" applyAlignment="1" pivotButton="0" quotePrefix="0" xfId="0">
      <alignment horizontal="center" vertical="center"/>
    </xf>
    <xf numFmtId="0" fontId="19" fillId="21" borderId="0" applyAlignment="1" pivotButton="0" quotePrefix="0" xfId="0">
      <alignment horizontal="center" vertical="center"/>
    </xf>
    <xf numFmtId="0" fontId="20" fillId="21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center" vertical="center"/>
    </xf>
    <xf numFmtId="0" fontId="22" fillId="17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24" fillId="16" borderId="0" applyAlignment="1" pivotButton="0" quotePrefix="0" xfId="0">
      <alignment horizontal="center" vertical="center"/>
    </xf>
    <xf numFmtId="0" fontId="24" fillId="16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center" vertical="center"/>
    </xf>
    <xf numFmtId="0" fontId="26" fillId="9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9" fillId="11" borderId="0" applyAlignment="1" pivotButton="0" quotePrefix="0" xfId="0">
      <alignment horizontal="center" vertical="center"/>
    </xf>
    <xf numFmtId="0" fontId="3" fillId="22" borderId="0" applyAlignment="1" pivotButton="0" quotePrefix="0" xfId="0">
      <alignment horizontal="left"/>
    </xf>
    <xf numFmtId="0" fontId="3" fillId="22" borderId="0" applyAlignment="1" pivotButton="0" quotePrefix="0" xfId="0">
      <alignment horizontal="left" vertical="center"/>
    </xf>
    <xf numFmtId="0" fontId="0" fillId="20" borderId="0" applyAlignment="1" pivotButton="0" quotePrefix="0" xfId="0">
      <alignment vertical="center"/>
    </xf>
    <xf numFmtId="0" fontId="33" fillId="20" borderId="0" pivotButton="0" quotePrefix="0" xfId="0"/>
    <xf numFmtId="0" fontId="33" fillId="20" borderId="0" applyAlignment="1" pivotButton="0" quotePrefix="0" xfId="0">
      <alignment vertical="center"/>
    </xf>
    <xf numFmtId="0" fontId="33" fillId="20" borderId="0" applyAlignment="1" pivotButton="0" quotePrefix="0" xfId="0">
      <alignment horizontal="left"/>
    </xf>
    <xf numFmtId="0" fontId="33" fillId="20" borderId="0" applyAlignment="1" pivotButton="0" quotePrefix="0" xfId="0">
      <alignment horizontal="left" vertical="center"/>
    </xf>
    <xf numFmtId="0" fontId="24" fillId="32" borderId="0" applyAlignment="1" pivotButton="0" quotePrefix="0" xfId="0">
      <alignment horizontal="center" vertical="center"/>
    </xf>
    <xf numFmtId="0" fontId="25" fillId="29" borderId="0" applyAlignment="1" pivotButton="0" quotePrefix="0" xfId="0">
      <alignment horizontal="center" vertical="center"/>
    </xf>
    <xf numFmtId="0" fontId="24" fillId="11" borderId="0" applyAlignment="1" pivotButton="0" quotePrefix="0" xfId="0">
      <alignment horizontal="center" vertical="center"/>
    </xf>
    <xf numFmtId="0" fontId="24" fillId="9" borderId="0" applyAlignment="1" pivotButton="0" quotePrefix="0" xfId="0">
      <alignment horizontal="center" vertical="center"/>
    </xf>
    <xf numFmtId="0" fontId="24" fillId="38" borderId="0" applyAlignment="1" pivotButton="0" quotePrefix="0" xfId="0">
      <alignment horizontal="center" vertical="center"/>
    </xf>
    <xf numFmtId="0" fontId="24" fillId="42" borderId="0" applyAlignment="1" pivotButton="0" quotePrefix="0" xfId="0">
      <alignment horizontal="center" vertical="center"/>
    </xf>
    <xf numFmtId="0" fontId="34" fillId="42" borderId="0" applyAlignment="1" pivotButton="0" quotePrefix="0" xfId="0">
      <alignment horizontal="center" vertical="center"/>
    </xf>
    <xf numFmtId="0" fontId="24" fillId="43" borderId="0" applyAlignment="1" pivotButton="0" quotePrefix="0" xfId="0">
      <alignment horizontal="left" vertical="center"/>
    </xf>
    <xf numFmtId="0" fontId="35" fillId="43" borderId="0" applyAlignment="1" pivotButton="0" quotePrefix="0" xfId="0">
      <alignment horizontal="left" vertical="center"/>
    </xf>
    <xf numFmtId="0" fontId="24" fillId="44" borderId="0" applyAlignment="1" pivotButton="0" quotePrefix="0" xfId="0">
      <alignment horizontal="center" vertical="center"/>
    </xf>
    <xf numFmtId="0" fontId="25" fillId="45" borderId="0" applyAlignment="1" pivotButton="0" quotePrefix="0" xfId="0">
      <alignment horizontal="center" vertical="center"/>
    </xf>
    <xf numFmtId="0" fontId="36" fillId="45" borderId="0" applyAlignment="1" pivotButton="0" quotePrefix="0" xfId="0">
      <alignment horizontal="center" vertical="center"/>
    </xf>
    <xf numFmtId="0" fontId="24" fillId="46" borderId="0" applyAlignment="1" pivotButton="0" quotePrefix="0" xfId="0">
      <alignment horizontal="center" vertical="center"/>
    </xf>
    <xf numFmtId="0" fontId="37" fillId="46" borderId="0" applyAlignment="1" pivotButton="0" quotePrefix="0" xfId="0">
      <alignment horizontal="center" vertical="center"/>
    </xf>
    <xf numFmtId="0" fontId="24" fillId="47" borderId="0" applyAlignment="1" pivotButton="0" quotePrefix="0" xfId="0">
      <alignment horizontal="center" vertical="center"/>
    </xf>
    <xf numFmtId="0" fontId="34" fillId="47" borderId="0" applyAlignment="1" pivotButton="0" quotePrefix="0" xfId="0">
      <alignment horizontal="center" vertical="center"/>
    </xf>
    <xf numFmtId="0" fontId="24" fillId="48" borderId="0" applyAlignment="1" pivotButton="0" quotePrefix="0" xfId="0">
      <alignment horizontal="center" vertical="center"/>
    </xf>
    <xf numFmtId="0" fontId="34" fillId="48" borderId="0" applyAlignment="1" pivotButton="0" quotePrefix="0" xfId="0">
      <alignment horizontal="center" vertical="center"/>
    </xf>
    <xf numFmtId="0" fontId="23" fillId="42" borderId="0" applyAlignment="1" pivotButton="0" quotePrefix="0" xfId="0">
      <alignment horizontal="center" vertical="center"/>
    </xf>
    <xf numFmtId="0" fontId="25" fillId="49" borderId="0" applyAlignment="1" pivotButton="0" quotePrefix="0" xfId="0">
      <alignment horizontal="center" vertical="center"/>
    </xf>
    <xf numFmtId="9" fontId="25" fillId="49" borderId="0" applyAlignment="1" pivotButton="0" quotePrefix="0" xfId="0">
      <alignment horizontal="center" vertical="center"/>
    </xf>
    <xf numFmtId="0" fontId="36" fillId="49" borderId="0" applyAlignment="1" pivotButton="0" quotePrefix="0" xfId="0">
      <alignment horizontal="center" vertical="center"/>
    </xf>
    <xf numFmtId="9" fontId="36" fillId="49" borderId="0" applyAlignment="1" pivotButton="0" quotePrefix="0" xfId="0">
      <alignment horizontal="center" vertical="center"/>
    </xf>
    <xf numFmtId="0" fontId="22" fillId="50" borderId="0" applyAlignment="1" pivotButton="0" quotePrefix="0" xfId="0">
      <alignment horizontal="center" vertical="center"/>
    </xf>
    <xf numFmtId="0" fontId="30" fillId="50" borderId="0" applyAlignment="1" pivotButton="0" quotePrefix="0" xfId="0">
      <alignment horizontal="center" vertical="center"/>
    </xf>
    <xf numFmtId="0" fontId="20" fillId="51" borderId="0" applyAlignment="1" pivotButton="0" quotePrefix="0" xfId="0">
      <alignment horizontal="center" vertical="center"/>
    </xf>
    <xf numFmtId="0" fontId="19" fillId="51" borderId="0" applyAlignment="1" pivotButton="0" quotePrefix="0" xfId="0">
      <alignment horizontal="center" vertical="center"/>
    </xf>
    <xf numFmtId="0" fontId="21" fillId="52" borderId="0" applyAlignment="1" pivotButton="0" quotePrefix="0" xfId="0">
      <alignment horizontal="center" vertical="center"/>
    </xf>
    <xf numFmtId="0" fontId="19" fillId="52" borderId="0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 wrapText="1"/>
    </xf>
    <xf numFmtId="0" fontId="15" fillId="23" borderId="1" applyAlignment="1" pivotButton="0" quotePrefix="0" xfId="0">
      <alignment wrapText="1"/>
    </xf>
    <xf numFmtId="0" fontId="38" fillId="53" borderId="0" applyAlignment="1" pivotButton="0" quotePrefix="0" xfId="0">
      <alignment vertical="center"/>
    </xf>
    <xf numFmtId="0" fontId="0" fillId="55" borderId="0" applyAlignment="1" pivotButton="0" quotePrefix="0" xfId="0">
      <alignment vertical="top" wrapText="1"/>
    </xf>
    <xf numFmtId="0" fontId="10" fillId="21" borderId="1" applyAlignment="1" pivotButton="0" quotePrefix="0" xfId="0">
      <alignment horizontal="center" vertical="center" wrapText="1"/>
    </xf>
    <xf numFmtId="0" fontId="38" fillId="5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3"/>
    </xf>
    <xf numFmtId="0" fontId="18" fillId="28" borderId="1" applyAlignment="1" pivotButton="0" quotePrefix="0" xfId="0">
      <alignment horizontal="center" vertical="center" wrapText="1"/>
    </xf>
    <xf numFmtId="0" fontId="38" fillId="53" borderId="0" applyAlignment="1" pivotButton="0" quotePrefix="0" xfId="0">
      <alignment horizontal="center" vertical="center" wrapText="1"/>
    </xf>
    <xf numFmtId="0" fontId="16" fillId="2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9" fontId="4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0" fillId="51" borderId="1" applyAlignment="1" pivotButton="0" quotePrefix="0" xfId="0">
      <alignment horizontal="center" vertical="center"/>
    </xf>
    <xf numFmtId="0" fontId="21" fillId="52" borderId="1" applyAlignment="1" pivotButton="0" quotePrefix="0" xfId="0">
      <alignment horizontal="center" vertical="center"/>
    </xf>
    <xf numFmtId="0" fontId="30" fillId="50" borderId="1" applyAlignment="1" pivotButton="0" quotePrefix="0" xfId="0">
      <alignment horizontal="center" vertical="center"/>
    </xf>
    <xf numFmtId="0" fontId="29" fillId="37" borderId="1" applyAlignment="1" pivotButton="0" quotePrefix="0" xfId="0">
      <alignment horizontal="center" vertical="center"/>
    </xf>
    <xf numFmtId="0" fontId="34" fillId="42" borderId="1" applyAlignment="1" pivotButton="0" quotePrefix="0" xfId="0">
      <alignment horizontal="center" vertical="center"/>
    </xf>
    <xf numFmtId="0" fontId="35" fillId="43" borderId="1" applyAlignment="1" pivotButton="0" quotePrefix="0" xfId="0">
      <alignment horizontal="left" vertical="center" indent="3"/>
    </xf>
    <xf numFmtId="0" fontId="23" fillId="42" borderId="1" applyAlignment="1" pivotButton="0" quotePrefix="0" xfId="0">
      <alignment horizontal="center" vertical="center"/>
    </xf>
    <xf numFmtId="0" fontId="36" fillId="45" borderId="1" applyAlignment="1" pivotButton="0" quotePrefix="0" xfId="0">
      <alignment horizontal="center" vertical="center"/>
    </xf>
    <xf numFmtId="0" fontId="36" fillId="49" borderId="1" applyAlignment="1" pivotButton="0" quotePrefix="0" xfId="0">
      <alignment horizontal="center" vertical="center"/>
    </xf>
    <xf numFmtId="0" fontId="37" fillId="46" borderId="1" applyAlignment="1" pivotButton="0" quotePrefix="0" xfId="0">
      <alignment horizontal="center" vertical="center"/>
    </xf>
    <xf numFmtId="9" fontId="36" fillId="49" borderId="1" applyAlignment="1" pivotButton="0" quotePrefix="0" xfId="0">
      <alignment horizontal="center" vertical="center"/>
    </xf>
    <xf numFmtId="0" fontId="34" fillId="47" borderId="1" applyAlignment="1" pivotButton="0" quotePrefix="0" xfId="0">
      <alignment horizontal="center" vertical="center"/>
    </xf>
    <xf numFmtId="0" fontId="34" fillId="48" borderId="1" applyAlignment="1" pivotButton="0" quotePrefix="0" xfId="0">
      <alignment horizontal="center" vertical="center"/>
    </xf>
    <xf numFmtId="0" fontId="39" fillId="54" borderId="1" applyAlignment="1" pivotButton="0" quotePrefix="0" xfId="0">
      <alignment horizontal="center" vertical="center"/>
    </xf>
    <xf numFmtId="0" fontId="38" fillId="53" borderId="0" applyAlignment="1" pivotButton="0" quotePrefix="0" xfId="0">
      <alignment horizontal="center"/>
    </xf>
  </cellXfs>
  <cellStyles count="1">
    <cellStyle name="Normal" xfId="0"/>
  </cellStyles>
  <dxfs count="36">
    <dxf>
      <font>
        <b val="1"/>
        <color rgb="FF166534"/>
      </font>
      <fill>
        <patternFill>
          <bgColor rgb="FFBBF7D0"/>
        </patternFill>
      </fill>
    </dxf>
    <dxf>
      <font>
        <b val="1"/>
        <color rgb="FF064E3B"/>
      </font>
      <fill>
        <patternFill>
          <bgColor rgb="FFA7F3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ont>
        <b val="1"/>
        <color rgb="FF14532D"/>
      </font>
      <fill>
        <patternFill>
          <bgColor rgb="FFBBF7D0"/>
        </patternFill>
      </fill>
    </dxf>
    <dxf>
      <fill>
        <patternFill>
          <bgColor rgb="FFFEF3C7"/>
        </patternFill>
      </fill>
    </dxf>
    <dxf>
      <font>
        <b val="1"/>
        <color rgb="FF14532D"/>
      </font>
      <fill>
        <patternFill>
          <bgColor rgb="FFBBF7D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/Relationships>
</file>

<file path=xl/drawings/_rels/drawing2.xml.rels><Relationships xmlns="http://schemas.openxmlformats.org/package/2006/relationships"><Relationship Type="http://schemas.openxmlformats.org/officeDocument/2006/relationships/image" Target="/xl/media/image97.png" Id="rId1"/><Relationship Type="http://schemas.openxmlformats.org/officeDocument/2006/relationships/image" Target="/xl/media/image98.png" Id="rId2"/><Relationship Type="http://schemas.openxmlformats.org/officeDocument/2006/relationships/image" Target="/xl/media/image99.png" Id="rId3"/><Relationship Type="http://schemas.openxmlformats.org/officeDocument/2006/relationships/image" Target="/xl/media/image100.png" Id="rId4"/><Relationship Type="http://schemas.openxmlformats.org/officeDocument/2006/relationships/image" Target="/xl/media/image101.png" Id="rId5"/><Relationship Type="http://schemas.openxmlformats.org/officeDocument/2006/relationships/image" Target="/xl/media/image102.png" Id="rId6"/><Relationship Type="http://schemas.openxmlformats.org/officeDocument/2006/relationships/image" Target="/xl/media/image103.png" Id="rId7"/><Relationship Type="http://schemas.openxmlformats.org/officeDocument/2006/relationships/image" Target="/xl/media/image104.png" Id="rId8"/><Relationship Type="http://schemas.openxmlformats.org/officeDocument/2006/relationships/image" Target="/xl/media/image105.png" Id="rId9"/><Relationship Type="http://schemas.openxmlformats.org/officeDocument/2006/relationships/image" Target="/xl/media/image106.png" Id="rId10"/><Relationship Type="http://schemas.openxmlformats.org/officeDocument/2006/relationships/image" Target="/xl/media/image107.png" Id="rId11"/><Relationship Type="http://schemas.openxmlformats.org/officeDocument/2006/relationships/image" Target="/xl/media/image108.png" Id="rId12"/><Relationship Type="http://schemas.openxmlformats.org/officeDocument/2006/relationships/image" Target="/xl/media/image109.png" Id="rId13"/><Relationship Type="http://schemas.openxmlformats.org/officeDocument/2006/relationships/image" Target="/xl/media/image110.png" Id="rId14"/><Relationship Type="http://schemas.openxmlformats.org/officeDocument/2006/relationships/image" Target="/xl/media/image111.png" Id="rId15"/><Relationship Type="http://schemas.openxmlformats.org/officeDocument/2006/relationships/image" Target="/xl/media/image112.png" Id="rId16"/><Relationship Type="http://schemas.openxmlformats.org/officeDocument/2006/relationships/image" Target="/xl/media/image113.png" Id="rId17"/><Relationship Type="http://schemas.openxmlformats.org/officeDocument/2006/relationships/image" Target="/xl/media/image114.png" Id="rId18"/><Relationship Type="http://schemas.openxmlformats.org/officeDocument/2006/relationships/image" Target="/xl/media/image115.png" Id="rId19"/><Relationship Type="http://schemas.openxmlformats.org/officeDocument/2006/relationships/image" Target="/xl/media/image116.png" Id="rId20"/><Relationship Type="http://schemas.openxmlformats.org/officeDocument/2006/relationships/image" Target="/xl/media/image117.png" Id="rId21"/><Relationship Type="http://schemas.openxmlformats.org/officeDocument/2006/relationships/image" Target="/xl/media/image118.png" Id="rId22"/><Relationship Type="http://schemas.openxmlformats.org/officeDocument/2006/relationships/image" Target="/xl/media/image119.png" Id="rId23"/><Relationship Type="http://schemas.openxmlformats.org/officeDocument/2006/relationships/image" Target="/xl/media/image120.png" Id="rId24"/><Relationship Type="http://schemas.openxmlformats.org/officeDocument/2006/relationships/image" Target="/xl/media/image121.png" Id="rId25"/><Relationship Type="http://schemas.openxmlformats.org/officeDocument/2006/relationships/image" Target="/xl/media/image122.png" Id="rId26"/><Relationship Type="http://schemas.openxmlformats.org/officeDocument/2006/relationships/image" Target="/xl/media/image123.png" Id="rId27"/><Relationship Type="http://schemas.openxmlformats.org/officeDocument/2006/relationships/image" Target="/xl/media/image124.png" Id="rId28"/><Relationship Type="http://schemas.openxmlformats.org/officeDocument/2006/relationships/image" Target="/xl/media/image125.png" Id="rId29"/><Relationship Type="http://schemas.openxmlformats.org/officeDocument/2006/relationships/image" Target="/xl/media/image126.png" Id="rId30"/><Relationship Type="http://schemas.openxmlformats.org/officeDocument/2006/relationships/image" Target="/xl/media/image127.png" Id="rId31"/><Relationship Type="http://schemas.openxmlformats.org/officeDocument/2006/relationships/image" Target="/xl/media/image128.png" Id="rId32"/><Relationship Type="http://schemas.openxmlformats.org/officeDocument/2006/relationships/image" Target="/xl/media/image129.png" Id="rId33"/><Relationship Type="http://schemas.openxmlformats.org/officeDocument/2006/relationships/image" Target="/xl/media/image130.png" Id="rId34"/><Relationship Type="http://schemas.openxmlformats.org/officeDocument/2006/relationships/image" Target="/xl/media/image131.png" Id="rId35"/><Relationship Type="http://schemas.openxmlformats.org/officeDocument/2006/relationships/image" Target="/xl/media/image132.png" Id="rId36"/><Relationship Type="http://schemas.openxmlformats.org/officeDocument/2006/relationships/image" Target="/xl/media/image133.png" Id="rId37"/><Relationship Type="http://schemas.openxmlformats.org/officeDocument/2006/relationships/image" Target="/xl/media/image134.png" Id="rId38"/><Relationship Type="http://schemas.openxmlformats.org/officeDocument/2006/relationships/image" Target="/xl/media/image135.png" Id="rId39"/><Relationship Type="http://schemas.openxmlformats.org/officeDocument/2006/relationships/image" Target="/xl/media/image136.png" Id="rId40"/><Relationship Type="http://schemas.openxmlformats.org/officeDocument/2006/relationships/image" Target="/xl/media/image137.png" Id="rId41"/><Relationship Type="http://schemas.openxmlformats.org/officeDocument/2006/relationships/image" Target="/xl/media/image138.png" Id="rId42"/><Relationship Type="http://schemas.openxmlformats.org/officeDocument/2006/relationships/image" Target="/xl/media/image139.png" Id="rId43"/><Relationship Type="http://schemas.openxmlformats.org/officeDocument/2006/relationships/image" Target="/xl/media/image140.png" Id="rId44"/><Relationship Type="http://schemas.openxmlformats.org/officeDocument/2006/relationships/image" Target="/xl/media/image141.png" Id="rId45"/><Relationship Type="http://schemas.openxmlformats.org/officeDocument/2006/relationships/image" Target="/xl/media/image142.png" Id="rId46"/><Relationship Type="http://schemas.openxmlformats.org/officeDocument/2006/relationships/image" Target="/xl/media/image143.png" Id="rId47"/><Relationship Type="http://schemas.openxmlformats.org/officeDocument/2006/relationships/image" Target="/xl/media/image144.png" Id="rId4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45.png" Id="rId1"/><Relationship Type="http://schemas.openxmlformats.org/officeDocument/2006/relationships/image" Target="/xl/media/image146.png" Id="rId2"/><Relationship Type="http://schemas.openxmlformats.org/officeDocument/2006/relationships/image" Target="/xl/media/image147.png" Id="rId3"/><Relationship Type="http://schemas.openxmlformats.org/officeDocument/2006/relationships/image" Target="/xl/media/image148.png" Id="rId4"/><Relationship Type="http://schemas.openxmlformats.org/officeDocument/2006/relationships/image" Target="/xl/media/image149.png" Id="rId5"/><Relationship Type="http://schemas.openxmlformats.org/officeDocument/2006/relationships/image" Target="/xl/media/image150.png" Id="rId6"/><Relationship Type="http://schemas.openxmlformats.org/officeDocument/2006/relationships/image" Target="/xl/media/image151.png" Id="rId7"/><Relationship Type="http://schemas.openxmlformats.org/officeDocument/2006/relationships/image" Target="/xl/media/image152.png" Id="rId8"/><Relationship Type="http://schemas.openxmlformats.org/officeDocument/2006/relationships/image" Target="/xl/media/image153.png" Id="rId9"/><Relationship Type="http://schemas.openxmlformats.org/officeDocument/2006/relationships/image" Target="/xl/media/image154.png" Id="rId10"/><Relationship Type="http://schemas.openxmlformats.org/officeDocument/2006/relationships/image" Target="/xl/media/image155.png" Id="rId11"/><Relationship Type="http://schemas.openxmlformats.org/officeDocument/2006/relationships/image" Target="/xl/media/image156.png" Id="rId12"/><Relationship Type="http://schemas.openxmlformats.org/officeDocument/2006/relationships/image" Target="/xl/media/image157.png" Id="rId13"/><Relationship Type="http://schemas.openxmlformats.org/officeDocument/2006/relationships/image" Target="/xl/media/image158.png" Id="rId14"/><Relationship Type="http://schemas.openxmlformats.org/officeDocument/2006/relationships/image" Target="/xl/media/image159.png" Id="rId15"/><Relationship Type="http://schemas.openxmlformats.org/officeDocument/2006/relationships/image" Target="/xl/media/image160.png" Id="rId16"/><Relationship Type="http://schemas.openxmlformats.org/officeDocument/2006/relationships/image" Target="/xl/media/image161.png" Id="rId17"/><Relationship Type="http://schemas.openxmlformats.org/officeDocument/2006/relationships/image" Target="/xl/media/image162.png" Id="rId18"/><Relationship Type="http://schemas.openxmlformats.org/officeDocument/2006/relationships/image" Target="/xl/media/image163.png" Id="rId19"/><Relationship Type="http://schemas.openxmlformats.org/officeDocument/2006/relationships/image" Target="/xl/media/image164.png" Id="rId20"/><Relationship Type="http://schemas.openxmlformats.org/officeDocument/2006/relationships/image" Target="/xl/media/image165.png" Id="rId21"/><Relationship Type="http://schemas.openxmlformats.org/officeDocument/2006/relationships/image" Target="/xl/media/image166.png" Id="rId22"/><Relationship Type="http://schemas.openxmlformats.org/officeDocument/2006/relationships/image" Target="/xl/media/image167.png" Id="rId23"/><Relationship Type="http://schemas.openxmlformats.org/officeDocument/2006/relationships/image" Target="/xl/media/image168.png" Id="rId24"/><Relationship Type="http://schemas.openxmlformats.org/officeDocument/2006/relationships/image" Target="/xl/media/image169.png" Id="rId25"/><Relationship Type="http://schemas.openxmlformats.org/officeDocument/2006/relationships/image" Target="/xl/media/image170.png" Id="rId26"/><Relationship Type="http://schemas.openxmlformats.org/officeDocument/2006/relationships/image" Target="/xl/media/image171.png" Id="rId27"/><Relationship Type="http://schemas.openxmlformats.org/officeDocument/2006/relationships/image" Target="/xl/media/image172.png" Id="rId28"/><Relationship Type="http://schemas.openxmlformats.org/officeDocument/2006/relationships/image" Target="/xl/media/image173.png" Id="rId29"/><Relationship Type="http://schemas.openxmlformats.org/officeDocument/2006/relationships/image" Target="/xl/media/image174.png" Id="rId30"/><Relationship Type="http://schemas.openxmlformats.org/officeDocument/2006/relationships/image" Target="/xl/media/image175.png" Id="rId31"/><Relationship Type="http://schemas.openxmlformats.org/officeDocument/2006/relationships/image" Target="/xl/media/image176.png" Id="rId32"/><Relationship Type="http://schemas.openxmlformats.org/officeDocument/2006/relationships/image" Target="/xl/media/image177.png" Id="rId33"/><Relationship Type="http://schemas.openxmlformats.org/officeDocument/2006/relationships/image" Target="/xl/media/image178.png" Id="rId34"/><Relationship Type="http://schemas.openxmlformats.org/officeDocument/2006/relationships/image" Target="/xl/media/image179.png" Id="rId35"/><Relationship Type="http://schemas.openxmlformats.org/officeDocument/2006/relationships/image" Target="/xl/media/image180.png" Id="rId36"/><Relationship Type="http://schemas.openxmlformats.org/officeDocument/2006/relationships/image" Target="/xl/media/image181.png" Id="rId37"/><Relationship Type="http://schemas.openxmlformats.org/officeDocument/2006/relationships/image" Target="/xl/media/image182.png" Id="rId38"/><Relationship Type="http://schemas.openxmlformats.org/officeDocument/2006/relationships/image" Target="/xl/media/image183.png" Id="rId39"/><Relationship Type="http://schemas.openxmlformats.org/officeDocument/2006/relationships/image" Target="/xl/media/image184.png" Id="rId40"/><Relationship Type="http://schemas.openxmlformats.org/officeDocument/2006/relationships/image" Target="/xl/media/image185.png" Id="rId41"/><Relationship Type="http://schemas.openxmlformats.org/officeDocument/2006/relationships/image" Target="/xl/media/image186.png" Id="rId42"/><Relationship Type="http://schemas.openxmlformats.org/officeDocument/2006/relationships/image" Target="/xl/media/image187.png" Id="rId43"/><Relationship Type="http://schemas.openxmlformats.org/officeDocument/2006/relationships/image" Target="/xl/media/image188.png" Id="rId44"/><Relationship Type="http://schemas.openxmlformats.org/officeDocument/2006/relationships/image" Target="/xl/media/image189.png" Id="rId45"/><Relationship Type="http://schemas.openxmlformats.org/officeDocument/2006/relationships/image" Target="/xl/media/image190.png" Id="rId46"/><Relationship Type="http://schemas.openxmlformats.org/officeDocument/2006/relationships/image" Target="/xl/media/image191.png" Id="rId47"/><Relationship Type="http://schemas.openxmlformats.org/officeDocument/2006/relationships/image" Target="/xl/media/image192.png" Id="rId48"/><Relationship Type="http://schemas.openxmlformats.org/officeDocument/2006/relationships/image" Target="/xl/media/image193.png" Id="rId49"/><Relationship Type="http://schemas.openxmlformats.org/officeDocument/2006/relationships/image" Target="/xl/media/image194.png" Id="rId50"/><Relationship Type="http://schemas.openxmlformats.org/officeDocument/2006/relationships/image" Target="/xl/media/image195.png" Id="rId51"/><Relationship Type="http://schemas.openxmlformats.org/officeDocument/2006/relationships/image" Target="/xl/media/image196.png" Id="rId52"/><Relationship Type="http://schemas.openxmlformats.org/officeDocument/2006/relationships/image" Target="/xl/media/image197.png" Id="rId53"/><Relationship Type="http://schemas.openxmlformats.org/officeDocument/2006/relationships/image" Target="/xl/media/image198.png" Id="rId54"/><Relationship Type="http://schemas.openxmlformats.org/officeDocument/2006/relationships/image" Target="/xl/media/image199.png" Id="rId55"/><Relationship Type="http://schemas.openxmlformats.org/officeDocument/2006/relationships/image" Target="/xl/media/image200.png" Id="rId56"/><Relationship Type="http://schemas.openxmlformats.org/officeDocument/2006/relationships/image" Target="/xl/media/image201.png" Id="rId57"/><Relationship Type="http://schemas.openxmlformats.org/officeDocument/2006/relationships/image" Target="/xl/media/image202.png" Id="rId58"/><Relationship Type="http://schemas.openxmlformats.org/officeDocument/2006/relationships/image" Target="/xl/media/image203.png" Id="rId59"/><Relationship Type="http://schemas.openxmlformats.org/officeDocument/2006/relationships/image" Target="/xl/media/image204.png" Id="rId60"/><Relationship Type="http://schemas.openxmlformats.org/officeDocument/2006/relationships/image" Target="/xl/media/image205.png" Id="rId61"/><Relationship Type="http://schemas.openxmlformats.org/officeDocument/2006/relationships/image" Target="/xl/media/image206.png" Id="rId62"/><Relationship Type="http://schemas.openxmlformats.org/officeDocument/2006/relationships/image" Target="/xl/media/image207.png" Id="rId63"/><Relationship Type="http://schemas.openxmlformats.org/officeDocument/2006/relationships/image" Target="/xl/media/image208.png" Id="rId64"/><Relationship Type="http://schemas.openxmlformats.org/officeDocument/2006/relationships/image" Target="/xl/media/image209.png" Id="rId65"/><Relationship Type="http://schemas.openxmlformats.org/officeDocument/2006/relationships/image" Target="/xl/media/image210.png" Id="rId66"/><Relationship Type="http://schemas.openxmlformats.org/officeDocument/2006/relationships/image" Target="/xl/media/image211.png" Id="rId67"/><Relationship Type="http://schemas.openxmlformats.org/officeDocument/2006/relationships/image" Target="/xl/media/image212.png" Id="rId68"/><Relationship Type="http://schemas.openxmlformats.org/officeDocument/2006/relationships/image" Target="/xl/media/image213.png" Id="rId69"/><Relationship Type="http://schemas.openxmlformats.org/officeDocument/2006/relationships/image" Target="/xl/media/image214.png" Id="rId70"/><Relationship Type="http://schemas.openxmlformats.org/officeDocument/2006/relationships/image" Target="/xl/media/image215.png" Id="rId71"/><Relationship Type="http://schemas.openxmlformats.org/officeDocument/2006/relationships/image" Target="/xl/media/image216.png" Id="rId72"/><Relationship Type="http://schemas.openxmlformats.org/officeDocument/2006/relationships/image" Target="/xl/media/image217.png" Id="rId73"/><Relationship Type="http://schemas.openxmlformats.org/officeDocument/2006/relationships/image" Target="/xl/media/image218.png" Id="rId74"/><Relationship Type="http://schemas.openxmlformats.org/officeDocument/2006/relationships/image" Target="/xl/media/image219.png" Id="rId75"/><Relationship Type="http://schemas.openxmlformats.org/officeDocument/2006/relationships/image" Target="/xl/media/image220.png" Id="rId76"/><Relationship Type="http://schemas.openxmlformats.org/officeDocument/2006/relationships/image" Target="/xl/media/image221.png" Id="rId77"/><Relationship Type="http://schemas.openxmlformats.org/officeDocument/2006/relationships/image" Target="/xl/media/image222.png" Id="rId78"/><Relationship Type="http://schemas.openxmlformats.org/officeDocument/2006/relationships/image" Target="/xl/media/image223.png" Id="rId79"/><Relationship Type="http://schemas.openxmlformats.org/officeDocument/2006/relationships/image" Target="/xl/media/image224.png" Id="rId80"/><Relationship Type="http://schemas.openxmlformats.org/officeDocument/2006/relationships/image" Target="/xl/media/image225.png" Id="rId81"/><Relationship Type="http://schemas.openxmlformats.org/officeDocument/2006/relationships/image" Target="/xl/media/image226.png" Id="rId82"/><Relationship Type="http://schemas.openxmlformats.org/officeDocument/2006/relationships/image" Target="/xl/media/image227.png" Id="rId83"/><Relationship Type="http://schemas.openxmlformats.org/officeDocument/2006/relationships/image" Target="/xl/media/image228.png" Id="rId84"/><Relationship Type="http://schemas.openxmlformats.org/officeDocument/2006/relationships/image" Target="/xl/media/image229.png" Id="rId85"/><Relationship Type="http://schemas.openxmlformats.org/officeDocument/2006/relationships/image" Target="/xl/media/image230.png" Id="rId86"/><Relationship Type="http://schemas.openxmlformats.org/officeDocument/2006/relationships/image" Target="/xl/media/image231.png" Id="rId87"/><Relationship Type="http://schemas.openxmlformats.org/officeDocument/2006/relationships/image" Target="/xl/media/image232.png" Id="rId88"/><Relationship Type="http://schemas.openxmlformats.org/officeDocument/2006/relationships/image" Target="/xl/media/image233.png" Id="rId89"/><Relationship Type="http://schemas.openxmlformats.org/officeDocument/2006/relationships/image" Target="/xl/media/image234.png" Id="rId90"/><Relationship Type="http://schemas.openxmlformats.org/officeDocument/2006/relationships/image" Target="/xl/media/image235.png" Id="rId91"/><Relationship Type="http://schemas.openxmlformats.org/officeDocument/2006/relationships/image" Target="/xl/media/image236.png" Id="rId92"/><Relationship Type="http://schemas.openxmlformats.org/officeDocument/2006/relationships/image" Target="/xl/media/image237.png" Id="rId93"/><Relationship Type="http://schemas.openxmlformats.org/officeDocument/2006/relationships/image" Target="/xl/media/image238.png" Id="rId94"/><Relationship Type="http://schemas.openxmlformats.org/officeDocument/2006/relationships/image" Target="/xl/media/image239.png" Id="rId95"/><Relationship Type="http://schemas.openxmlformats.org/officeDocument/2006/relationships/image" Target="/xl/media/image240.png" Id="rId96"/><Relationship Type="http://schemas.openxmlformats.org/officeDocument/2006/relationships/image" Target="/xl/media/image241.png" Id="rId97"/><Relationship Type="http://schemas.openxmlformats.org/officeDocument/2006/relationships/image" Target="/xl/media/image242.png" Id="rId98"/><Relationship Type="http://schemas.openxmlformats.org/officeDocument/2006/relationships/image" Target="/xl/media/image243.png" Id="rId99"/><Relationship Type="http://schemas.openxmlformats.org/officeDocument/2006/relationships/image" Target="/xl/media/image244.png" Id="rId100"/><Relationship Type="http://schemas.openxmlformats.org/officeDocument/2006/relationships/image" Target="/xl/media/image245.png" Id="rId101"/><Relationship Type="http://schemas.openxmlformats.org/officeDocument/2006/relationships/image" Target="/xl/media/image246.png" Id="rId102"/><Relationship Type="http://schemas.openxmlformats.org/officeDocument/2006/relationships/image" Target="/xl/media/image247.png" Id="rId103"/><Relationship Type="http://schemas.openxmlformats.org/officeDocument/2006/relationships/image" Target="/xl/media/image248.png" Id="rId104"/><Relationship Type="http://schemas.openxmlformats.org/officeDocument/2006/relationships/image" Target="/xl/media/image249.png" Id="rId105"/><Relationship Type="http://schemas.openxmlformats.org/officeDocument/2006/relationships/image" Target="/xl/media/image250.png" Id="rId106"/><Relationship Type="http://schemas.openxmlformats.org/officeDocument/2006/relationships/image" Target="/xl/media/image251.png" Id="rId107"/><Relationship Type="http://schemas.openxmlformats.org/officeDocument/2006/relationships/image" Target="/xl/media/image252.png" Id="rId108"/><Relationship Type="http://schemas.openxmlformats.org/officeDocument/2006/relationships/image" Target="/xl/media/image253.png" Id="rId109"/><Relationship Type="http://schemas.openxmlformats.org/officeDocument/2006/relationships/image" Target="/xl/media/image254.png" Id="rId110"/><Relationship Type="http://schemas.openxmlformats.org/officeDocument/2006/relationships/image" Target="/xl/media/image255.png" Id="rId111"/><Relationship Type="http://schemas.openxmlformats.org/officeDocument/2006/relationships/image" Target="/xl/media/image256.png" Id="rId112"/><Relationship Type="http://schemas.openxmlformats.org/officeDocument/2006/relationships/image" Target="/xl/media/image257.png" Id="rId113"/><Relationship Type="http://schemas.openxmlformats.org/officeDocument/2006/relationships/image" Target="/xl/media/image258.png" Id="rId114"/><Relationship Type="http://schemas.openxmlformats.org/officeDocument/2006/relationships/image" Target="/xl/media/image259.png" Id="rId115"/><Relationship Type="http://schemas.openxmlformats.org/officeDocument/2006/relationships/image" Target="/xl/media/image260.png" Id="rId116"/><Relationship Type="http://schemas.openxmlformats.org/officeDocument/2006/relationships/image" Target="/xl/media/image261.png" Id="rId117"/><Relationship Type="http://schemas.openxmlformats.org/officeDocument/2006/relationships/image" Target="/xl/media/image262.png" Id="rId118"/><Relationship Type="http://schemas.openxmlformats.org/officeDocument/2006/relationships/image" Target="/xl/media/image263.png" Id="rId119"/><Relationship Type="http://schemas.openxmlformats.org/officeDocument/2006/relationships/image" Target="/xl/media/image264.png" Id="rId120"/><Relationship Type="http://schemas.openxmlformats.org/officeDocument/2006/relationships/image" Target="/xl/media/image265.png" Id="rId121"/><Relationship Type="http://schemas.openxmlformats.org/officeDocument/2006/relationships/image" Target="/xl/media/image266.png" Id="rId122"/><Relationship Type="http://schemas.openxmlformats.org/officeDocument/2006/relationships/image" Target="/xl/media/image267.png" Id="rId123"/><Relationship Type="http://schemas.openxmlformats.org/officeDocument/2006/relationships/image" Target="/xl/media/image268.png" Id="rId124"/><Relationship Type="http://schemas.openxmlformats.org/officeDocument/2006/relationships/image" Target="/xl/media/image269.png" Id="rId125"/><Relationship Type="http://schemas.openxmlformats.org/officeDocument/2006/relationships/image" Target="/xl/media/image270.png" Id="rId126"/><Relationship Type="http://schemas.openxmlformats.org/officeDocument/2006/relationships/image" Target="/xl/media/image271.png" Id="rId127"/><Relationship Type="http://schemas.openxmlformats.org/officeDocument/2006/relationships/image" Target="/xl/media/image272.png" Id="rId128"/><Relationship Type="http://schemas.openxmlformats.org/officeDocument/2006/relationships/image" Target="/xl/media/image273.png" Id="rId129"/><Relationship Type="http://schemas.openxmlformats.org/officeDocument/2006/relationships/image" Target="/xl/media/image274.png" Id="rId130"/><Relationship Type="http://schemas.openxmlformats.org/officeDocument/2006/relationships/image" Target="/xl/media/image275.png" Id="rId131"/><Relationship Type="http://schemas.openxmlformats.org/officeDocument/2006/relationships/image" Target="/xl/media/image276.png" Id="rId132"/><Relationship Type="http://schemas.openxmlformats.org/officeDocument/2006/relationships/image" Target="/xl/media/image277.png" Id="rId133"/><Relationship Type="http://schemas.openxmlformats.org/officeDocument/2006/relationships/image" Target="/xl/media/image278.png" Id="rId134"/><Relationship Type="http://schemas.openxmlformats.org/officeDocument/2006/relationships/image" Target="/xl/media/image279.png" Id="rId135"/><Relationship Type="http://schemas.openxmlformats.org/officeDocument/2006/relationships/image" Target="/xl/media/image280.png" Id="rId136"/><Relationship Type="http://schemas.openxmlformats.org/officeDocument/2006/relationships/image" Target="/xl/media/image281.png" Id="rId137"/><Relationship Type="http://schemas.openxmlformats.org/officeDocument/2006/relationships/image" Target="/xl/media/image282.png" Id="rId138"/><Relationship Type="http://schemas.openxmlformats.org/officeDocument/2006/relationships/image" Target="/xl/media/image283.png" Id="rId139"/><Relationship Type="http://schemas.openxmlformats.org/officeDocument/2006/relationships/image" Target="/xl/media/image284.png" Id="rId140"/><Relationship Type="http://schemas.openxmlformats.org/officeDocument/2006/relationships/image" Target="/xl/media/image285.png" Id="rId141"/><Relationship Type="http://schemas.openxmlformats.org/officeDocument/2006/relationships/image" Target="/xl/media/image286.png" Id="rId142"/><Relationship Type="http://schemas.openxmlformats.org/officeDocument/2006/relationships/image" Target="/xl/media/image287.png" Id="rId143"/><Relationship Type="http://schemas.openxmlformats.org/officeDocument/2006/relationships/image" Target="/xl/media/image288.png" Id="rId14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89.png" Id="rId1"/><Relationship Type="http://schemas.openxmlformats.org/officeDocument/2006/relationships/image" Target="/xl/media/image290.png" Id="rId2"/><Relationship Type="http://schemas.openxmlformats.org/officeDocument/2006/relationships/image" Target="/xl/media/image291.png" Id="rId3"/><Relationship Type="http://schemas.openxmlformats.org/officeDocument/2006/relationships/image" Target="/xl/media/image292.png" Id="rId4"/><Relationship Type="http://schemas.openxmlformats.org/officeDocument/2006/relationships/image" Target="/xl/media/image293.png" Id="rId5"/><Relationship Type="http://schemas.openxmlformats.org/officeDocument/2006/relationships/image" Target="/xl/media/image294.png" Id="rId6"/><Relationship Type="http://schemas.openxmlformats.org/officeDocument/2006/relationships/image" Target="/xl/media/image295.png" Id="rId7"/><Relationship Type="http://schemas.openxmlformats.org/officeDocument/2006/relationships/image" Target="/xl/media/image296.png" Id="rId8"/><Relationship Type="http://schemas.openxmlformats.org/officeDocument/2006/relationships/image" Target="/xl/media/image297.png" Id="rId9"/><Relationship Type="http://schemas.openxmlformats.org/officeDocument/2006/relationships/image" Target="/xl/media/image298.png" Id="rId10"/><Relationship Type="http://schemas.openxmlformats.org/officeDocument/2006/relationships/image" Target="/xl/media/image299.png" Id="rId11"/><Relationship Type="http://schemas.openxmlformats.org/officeDocument/2006/relationships/image" Target="/xl/media/image300.png" Id="rId12"/><Relationship Type="http://schemas.openxmlformats.org/officeDocument/2006/relationships/image" Target="/xl/media/image301.png" Id="rId13"/><Relationship Type="http://schemas.openxmlformats.org/officeDocument/2006/relationships/image" Target="/xl/media/image302.png" Id="rId14"/><Relationship Type="http://schemas.openxmlformats.org/officeDocument/2006/relationships/image" Target="/xl/media/image303.png" Id="rId15"/><Relationship Type="http://schemas.openxmlformats.org/officeDocument/2006/relationships/image" Target="/xl/media/image304.png" Id="rId16"/><Relationship Type="http://schemas.openxmlformats.org/officeDocument/2006/relationships/image" Target="/xl/media/image305.png" Id="rId17"/><Relationship Type="http://schemas.openxmlformats.org/officeDocument/2006/relationships/image" Target="/xl/media/image306.png" Id="rId18"/><Relationship Type="http://schemas.openxmlformats.org/officeDocument/2006/relationships/image" Target="/xl/media/image307.png" Id="rId19"/><Relationship Type="http://schemas.openxmlformats.org/officeDocument/2006/relationships/image" Target="/xl/media/image308.png" Id="rId20"/><Relationship Type="http://schemas.openxmlformats.org/officeDocument/2006/relationships/image" Target="/xl/media/image309.png" Id="rId21"/><Relationship Type="http://schemas.openxmlformats.org/officeDocument/2006/relationships/image" Target="/xl/media/image310.png" Id="rId22"/><Relationship Type="http://schemas.openxmlformats.org/officeDocument/2006/relationships/image" Target="/xl/media/image311.png" Id="rId23"/><Relationship Type="http://schemas.openxmlformats.org/officeDocument/2006/relationships/image" Target="/xl/media/image312.png" Id="rId24"/><Relationship Type="http://schemas.openxmlformats.org/officeDocument/2006/relationships/image" Target="/xl/media/image313.png" Id="rId25"/><Relationship Type="http://schemas.openxmlformats.org/officeDocument/2006/relationships/image" Target="/xl/media/image314.png" Id="rId26"/><Relationship Type="http://schemas.openxmlformats.org/officeDocument/2006/relationships/image" Target="/xl/media/image315.png" Id="rId27"/><Relationship Type="http://schemas.openxmlformats.org/officeDocument/2006/relationships/image" Target="/xl/media/image316.png" Id="rId28"/><Relationship Type="http://schemas.openxmlformats.org/officeDocument/2006/relationships/image" Target="/xl/media/image317.png" Id="rId29"/><Relationship Type="http://schemas.openxmlformats.org/officeDocument/2006/relationships/image" Target="/xl/media/image318.png" Id="rId30"/><Relationship Type="http://schemas.openxmlformats.org/officeDocument/2006/relationships/image" Target="/xl/media/image319.png" Id="rId31"/><Relationship Type="http://schemas.openxmlformats.org/officeDocument/2006/relationships/image" Target="/xl/media/image320.png" Id="rId32"/><Relationship Type="http://schemas.openxmlformats.org/officeDocument/2006/relationships/image" Target="/xl/media/image321.png" Id="rId33"/><Relationship Type="http://schemas.openxmlformats.org/officeDocument/2006/relationships/image" Target="/xl/media/image322.png" Id="rId34"/><Relationship Type="http://schemas.openxmlformats.org/officeDocument/2006/relationships/image" Target="/xl/media/image323.png" Id="rId35"/><Relationship Type="http://schemas.openxmlformats.org/officeDocument/2006/relationships/image" Target="/xl/media/image324.png" Id="rId36"/><Relationship Type="http://schemas.openxmlformats.org/officeDocument/2006/relationships/image" Target="/xl/media/image325.png" Id="rId37"/><Relationship Type="http://schemas.openxmlformats.org/officeDocument/2006/relationships/image" Target="/xl/media/image326.png" Id="rId38"/><Relationship Type="http://schemas.openxmlformats.org/officeDocument/2006/relationships/image" Target="/xl/media/image327.png" Id="rId39"/><Relationship Type="http://schemas.openxmlformats.org/officeDocument/2006/relationships/image" Target="/xl/media/image328.png" Id="rId40"/><Relationship Type="http://schemas.openxmlformats.org/officeDocument/2006/relationships/image" Target="/xl/media/image329.png" Id="rId41"/><Relationship Type="http://schemas.openxmlformats.org/officeDocument/2006/relationships/image" Target="/xl/media/image330.png" Id="rId42"/><Relationship Type="http://schemas.openxmlformats.org/officeDocument/2006/relationships/image" Target="/xl/media/image331.png" Id="rId43"/><Relationship Type="http://schemas.openxmlformats.org/officeDocument/2006/relationships/image" Target="/xl/media/image332.png" Id="rId44"/><Relationship Type="http://schemas.openxmlformats.org/officeDocument/2006/relationships/image" Target="/xl/media/image333.png" Id="rId45"/><Relationship Type="http://schemas.openxmlformats.org/officeDocument/2006/relationships/image" Target="/xl/media/image334.png" Id="rId46"/><Relationship Type="http://schemas.openxmlformats.org/officeDocument/2006/relationships/image" Target="/xl/media/image335.png" Id="rId47"/><Relationship Type="http://schemas.openxmlformats.org/officeDocument/2006/relationships/image" Target="/xl/media/image336.png" Id="rId48"/></Relationships>
</file>

<file path=xl/drawings/drawing1.xml><?xml version="1.0" encoding="utf-8"?>
<wsDr xmlns="http://schemas.openxmlformats.org/drawingml/2006/spreadsheetDrawing">
  <oneCellAnchor>
    <from>
      <col>2</col>
      <colOff>0</colOff>
      <row>3</row>
      <rowOff>0</rowOff>
    </from>
    <ext cx="228600" cy="15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</row>
      <rowOff>0</rowOff>
    </from>
    <ext cx="2286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</row>
      <rowOff>0</rowOff>
    </from>
    <ext cx="2286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</row>
      <rowOff>0</rowOff>
    </from>
    <ext cx="2286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5</row>
      <rowOff>0</rowOff>
    </from>
    <ext cx="2286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</row>
      <rowOff>0</rowOff>
    </from>
    <ext cx="2286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6</row>
      <rowOff>0</rowOff>
    </from>
    <ext cx="2286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</row>
      <rowOff>0</rowOff>
    </from>
    <ext cx="2286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7</row>
      <rowOff>0</rowOff>
    </from>
    <ext cx="2286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</row>
      <rowOff>0</rowOff>
    </from>
    <ext cx="2286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8</row>
      <rowOff>0</rowOff>
    </from>
    <ext cx="2286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2286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9</row>
      <rowOff>0</rowOff>
    </from>
    <ext cx="2286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</row>
      <rowOff>0</rowOff>
    </from>
    <ext cx="2286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10</row>
      <rowOff>0</rowOff>
    </from>
    <ext cx="2286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</row>
      <rowOff>0</rowOff>
    </from>
    <ext cx="2286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11</row>
      <rowOff>0</rowOff>
    </from>
    <ext cx="2286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2286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12</row>
      <rowOff>0</rowOff>
    </from>
    <ext cx="2286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2286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13</row>
      <rowOff>0</rowOff>
    </from>
    <ext cx="2286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2286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14</row>
      <rowOff>0</rowOff>
    </from>
    <ext cx="2286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2286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15</row>
      <rowOff>0</rowOff>
    </from>
    <ext cx="2286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2286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16</row>
      <rowOff>0</rowOff>
    </from>
    <ext cx="2286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228600" cy="152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17</row>
      <rowOff>0</rowOff>
    </from>
    <ext cx="228600" cy="152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228600" cy="152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18</row>
      <rowOff>0</rowOff>
    </from>
    <ext cx="228600" cy="152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2286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19</row>
      <rowOff>0</rowOff>
    </from>
    <ext cx="2286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228600" cy="152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20</row>
      <rowOff>0</rowOff>
    </from>
    <ext cx="2286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228600" cy="152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21</row>
      <rowOff>0</rowOff>
    </from>
    <ext cx="228600" cy="152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228600" cy="152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22</row>
      <rowOff>0</rowOff>
    </from>
    <ext cx="228600" cy="152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228600" cy="152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23</row>
      <rowOff>0</rowOff>
    </from>
    <ext cx="2286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2286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24</row>
      <rowOff>0</rowOff>
    </from>
    <ext cx="2286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2286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25</row>
      <rowOff>0</rowOff>
    </from>
    <ext cx="2286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2286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26</row>
      <rowOff>0</rowOff>
    </from>
    <ext cx="2286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2286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27</row>
      <rowOff>0</rowOff>
    </from>
    <ext cx="228600" cy="152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228600" cy="152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28</row>
      <rowOff>0</rowOff>
    </from>
    <ext cx="228600" cy="152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228600" cy="152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29</row>
      <rowOff>0</rowOff>
    </from>
    <ext cx="228600" cy="152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228600" cy="152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30</row>
      <rowOff>0</rowOff>
    </from>
    <ext cx="228600" cy="152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228600" cy="152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31</row>
      <rowOff>0</rowOff>
    </from>
    <ext cx="228600" cy="152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228600" cy="152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32</row>
      <rowOff>0</rowOff>
    </from>
    <ext cx="228600" cy="152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228600" cy="152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33</row>
      <rowOff>0</rowOff>
    </from>
    <ext cx="228600" cy="152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228600" cy="152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34</row>
      <rowOff>0</rowOff>
    </from>
    <ext cx="228600" cy="152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228600" cy="152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35</row>
      <rowOff>0</rowOff>
    </from>
    <ext cx="228600" cy="152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228600" cy="152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36</row>
      <rowOff>0</rowOff>
    </from>
    <ext cx="228600" cy="152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37</row>
      <rowOff>0</rowOff>
    </from>
    <ext cx="228600" cy="152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37</row>
      <rowOff>0</rowOff>
    </from>
    <ext cx="228600" cy="152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38</row>
      <rowOff>0</rowOff>
    </from>
    <ext cx="228600" cy="152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38</row>
      <rowOff>0</rowOff>
    </from>
    <ext cx="228600" cy="152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39</row>
      <rowOff>0</rowOff>
    </from>
    <ext cx="228600" cy="152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39</row>
      <rowOff>0</rowOff>
    </from>
    <ext cx="228600" cy="152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228600" cy="152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40</row>
      <rowOff>0</rowOff>
    </from>
    <ext cx="228600" cy="152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41</row>
      <rowOff>0</rowOff>
    </from>
    <ext cx="228600" cy="152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41</row>
      <rowOff>0</rowOff>
    </from>
    <ext cx="228600" cy="152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42</row>
      <rowOff>0</rowOff>
    </from>
    <ext cx="228600" cy="152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42</row>
      <rowOff>0</rowOff>
    </from>
    <ext cx="228600" cy="152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43</row>
      <rowOff>0</rowOff>
    </from>
    <ext cx="228600" cy="152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43</row>
      <rowOff>0</rowOff>
    </from>
    <ext cx="228600" cy="152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44</row>
      <rowOff>0</rowOff>
    </from>
    <ext cx="228600" cy="152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44</row>
      <rowOff>0</rowOff>
    </from>
    <ext cx="228600" cy="152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45</row>
      <rowOff>0</rowOff>
    </from>
    <ext cx="228600" cy="152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45</row>
      <rowOff>0</rowOff>
    </from>
    <ext cx="228600" cy="152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46</row>
      <rowOff>0</rowOff>
    </from>
    <ext cx="228600" cy="152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46</row>
      <rowOff>0</rowOff>
    </from>
    <ext cx="228600" cy="152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47</row>
      <rowOff>0</rowOff>
    </from>
    <ext cx="228600" cy="152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47</row>
      <rowOff>0</rowOff>
    </from>
    <ext cx="228600" cy="152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48</row>
      <rowOff>0</rowOff>
    </from>
    <ext cx="228600" cy="152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48</row>
      <rowOff>0</rowOff>
    </from>
    <ext cx="228600" cy="152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49</row>
      <rowOff>0</rowOff>
    </from>
    <ext cx="228600" cy="152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49</row>
      <rowOff>0</rowOff>
    </from>
    <ext cx="228600" cy="152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50</row>
      <rowOff>0</rowOff>
    </from>
    <ext cx="228600" cy="152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14</col>
      <colOff>0</colOff>
      <row>50</row>
      <rowOff>0</rowOff>
    </from>
    <ext cx="228600" cy="152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247650" cy="161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247650" cy="161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247650" cy="161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247650" cy="161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247650" cy="161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247650" cy="1619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247650" cy="1619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247650" cy="1619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247650" cy="1619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247650" cy="1619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247650" cy="1619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247650" cy="1619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247650" cy="1619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247650" cy="1619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247650" cy="1619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247650" cy="1619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247650" cy="1619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247650" cy="1619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247650" cy="1619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247650" cy="1619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247650" cy="1619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247650" cy="161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247650" cy="161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247650" cy="161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247650" cy="161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247650" cy="161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247650" cy="1619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247650" cy="1619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247650" cy="1619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247650" cy="1619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247650" cy="161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247650" cy="161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247650" cy="161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247650" cy="161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247650" cy="161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247650" cy="1619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247650" cy="1619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247650" cy="1619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247650" cy="1619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247650" cy="1619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247650" cy="1619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247650" cy="1619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247650" cy="1619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247650" cy="1619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247650" cy="1619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247650" cy="1619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</row>
      <rowOff>0</rowOff>
    </from>
    <ext cx="247650" cy="1619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</row>
      <rowOff>0</rowOff>
    </from>
    <ext cx="247650" cy="1619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3</row>
      <rowOff>0</rowOff>
    </from>
    <ext cx="228600" cy="15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2286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</row>
      <rowOff>0</rowOff>
    </from>
    <ext cx="2286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2286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</row>
      <rowOff>0</rowOff>
    </from>
    <ext cx="2286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2286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</row>
      <rowOff>0</rowOff>
    </from>
    <ext cx="2286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2286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</row>
      <rowOff>0</rowOff>
    </from>
    <ext cx="2286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2286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</row>
      <rowOff>0</rowOff>
    </from>
    <ext cx="2286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2286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</row>
      <rowOff>0</rowOff>
    </from>
    <ext cx="2286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2286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</row>
      <rowOff>0</rowOff>
    </from>
    <ext cx="2286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2286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</row>
      <rowOff>0</rowOff>
    </from>
    <ext cx="2286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2286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</row>
      <rowOff>0</rowOff>
    </from>
    <ext cx="2286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2286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</row>
      <rowOff>0</rowOff>
    </from>
    <ext cx="2286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2286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</row>
      <rowOff>0</rowOff>
    </from>
    <ext cx="2286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2286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</row>
      <rowOff>0</rowOff>
    </from>
    <ext cx="2286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2286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</row>
      <rowOff>0</rowOff>
    </from>
    <ext cx="2286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228600" cy="152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</row>
      <rowOff>0</rowOff>
    </from>
    <ext cx="228600" cy="152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228600" cy="152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18</row>
      <rowOff>0</rowOff>
    </from>
    <ext cx="228600" cy="152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2286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19</row>
      <rowOff>0</rowOff>
    </from>
    <ext cx="2286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228600" cy="152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20</row>
      <rowOff>0</rowOff>
    </from>
    <ext cx="2286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228600" cy="152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228600" cy="152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228600" cy="152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22</row>
      <rowOff>0</rowOff>
    </from>
    <ext cx="228600" cy="152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0</rowOff>
    </from>
    <ext cx="228600" cy="152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23</row>
      <rowOff>0</rowOff>
    </from>
    <ext cx="2286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2286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24</row>
      <rowOff>0</rowOff>
    </from>
    <ext cx="2286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2286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25</row>
      <rowOff>0</rowOff>
    </from>
    <ext cx="2286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2286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26</row>
      <rowOff>0</rowOff>
    </from>
    <ext cx="2286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2286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27</row>
      <rowOff>0</rowOff>
    </from>
    <ext cx="228600" cy="152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228600" cy="152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28</row>
      <rowOff>0</rowOff>
    </from>
    <ext cx="228600" cy="152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228600" cy="152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29</row>
      <rowOff>0</rowOff>
    </from>
    <ext cx="228600" cy="152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228600" cy="152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30</row>
      <rowOff>0</rowOff>
    </from>
    <ext cx="228600" cy="152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228600" cy="152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31</row>
      <rowOff>0</rowOff>
    </from>
    <ext cx="228600" cy="152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228600" cy="152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32</row>
      <rowOff>0</rowOff>
    </from>
    <ext cx="228600" cy="152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228600" cy="152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33</row>
      <rowOff>0</rowOff>
    </from>
    <ext cx="228600" cy="152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228600" cy="152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34</row>
      <rowOff>0</rowOff>
    </from>
    <ext cx="228600" cy="152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35</row>
      <rowOff>0</rowOff>
    </from>
    <ext cx="228600" cy="152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35</row>
      <rowOff>0</rowOff>
    </from>
    <ext cx="228600" cy="152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228600" cy="152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36</row>
      <rowOff>0</rowOff>
    </from>
    <ext cx="228600" cy="152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228600" cy="152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37</row>
      <rowOff>0</rowOff>
    </from>
    <ext cx="228600" cy="152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228600" cy="152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38</row>
      <rowOff>0</rowOff>
    </from>
    <ext cx="228600" cy="152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228600" cy="152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39</row>
      <rowOff>0</rowOff>
    </from>
    <ext cx="228600" cy="152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228600" cy="152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40</row>
      <rowOff>0</rowOff>
    </from>
    <ext cx="228600" cy="152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228600" cy="152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41</row>
      <rowOff>0</rowOff>
    </from>
    <ext cx="228600" cy="152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228600" cy="152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42</row>
      <rowOff>0</rowOff>
    </from>
    <ext cx="228600" cy="152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228600" cy="152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43</row>
      <rowOff>0</rowOff>
    </from>
    <ext cx="228600" cy="152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228600" cy="152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44</row>
      <rowOff>0</rowOff>
    </from>
    <ext cx="228600" cy="152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228600" cy="152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45</row>
      <rowOff>0</rowOff>
    </from>
    <ext cx="228600" cy="152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228600" cy="152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46</row>
      <rowOff>0</rowOff>
    </from>
    <ext cx="228600" cy="152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228600" cy="152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47</row>
      <rowOff>0</rowOff>
    </from>
    <ext cx="228600" cy="152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228600" cy="152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48</row>
      <rowOff>0</rowOff>
    </from>
    <ext cx="228600" cy="152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228600" cy="152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49</row>
      <rowOff>0</rowOff>
    </from>
    <ext cx="228600" cy="152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50</row>
      <rowOff>0</rowOff>
    </from>
    <ext cx="228600" cy="152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50</row>
      <rowOff>0</rowOff>
    </from>
    <ext cx="228600" cy="152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228600" cy="152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51</row>
      <rowOff>0</rowOff>
    </from>
    <ext cx="228600" cy="152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228600" cy="152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52</row>
      <rowOff>0</rowOff>
    </from>
    <ext cx="228600" cy="152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228600" cy="152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53</row>
      <rowOff>0</rowOff>
    </from>
    <ext cx="228600" cy="152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228600" cy="1524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54</row>
      <rowOff>0</rowOff>
    </from>
    <ext cx="228600" cy="152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228600" cy="1524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55</row>
      <rowOff>0</rowOff>
    </from>
    <ext cx="228600" cy="1524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228600" cy="1524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56</row>
      <rowOff>0</rowOff>
    </from>
    <ext cx="228600" cy="1524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228600" cy="1524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57</row>
      <rowOff>0</rowOff>
    </from>
    <ext cx="228600" cy="1524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228600" cy="1524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58</row>
      <rowOff>0</rowOff>
    </from>
    <ext cx="228600" cy="1524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228600" cy="1524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59</row>
      <rowOff>0</rowOff>
    </from>
    <ext cx="228600" cy="1524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228600" cy="1524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60</row>
      <rowOff>0</rowOff>
    </from>
    <ext cx="228600" cy="1524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228600" cy="1524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61</row>
      <rowOff>0</rowOff>
    </from>
    <ext cx="228600" cy="1524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62</row>
      <rowOff>0</rowOff>
    </from>
    <ext cx="228600" cy="1524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62</row>
      <rowOff>0</rowOff>
    </from>
    <ext cx="228600" cy="1524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63</row>
      <rowOff>0</rowOff>
    </from>
    <ext cx="228600" cy="1524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63</row>
      <rowOff>0</rowOff>
    </from>
    <ext cx="228600" cy="1524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228600" cy="1524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64</row>
      <rowOff>0</rowOff>
    </from>
    <ext cx="228600" cy="1524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228600" cy="1524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65</row>
      <rowOff>0</rowOff>
    </from>
    <ext cx="228600" cy="1524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228600" cy="1524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66</row>
      <rowOff>0</rowOff>
    </from>
    <ext cx="228600" cy="1524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228600" cy="1524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67</row>
      <rowOff>0</rowOff>
    </from>
    <ext cx="228600" cy="1524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228600" cy="1524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68</row>
      <rowOff>0</rowOff>
    </from>
    <ext cx="228600" cy="1524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228600" cy="1524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69</row>
      <rowOff>0</rowOff>
    </from>
    <ext cx="228600" cy="1524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228600" cy="1524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70</row>
      <rowOff>0</rowOff>
    </from>
    <ext cx="228600" cy="1524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228600" cy="1524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71</row>
      <rowOff>0</rowOff>
    </from>
    <ext cx="228600" cy="1524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228600" cy="1524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72</row>
      <rowOff>0</rowOff>
    </from>
    <ext cx="228600" cy="1524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228600" cy="1524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73</row>
      <rowOff>0</rowOff>
    </from>
    <ext cx="228600" cy="1524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228600" cy="1524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74</row>
      <rowOff>0</rowOff>
    </from>
    <ext cx="228600" cy="1524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2</row>
      <rowOff>0</rowOff>
    </from>
    <ext cx="266700" cy="171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</row>
      <rowOff>0</rowOff>
    </from>
    <ext cx="266700" cy="171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</row>
      <rowOff>0</rowOff>
    </from>
    <ext cx="266700" cy="171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</row>
      <rowOff>0</rowOff>
    </from>
    <ext cx="266700" cy="171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</row>
      <rowOff>0</rowOff>
    </from>
    <ext cx="266700" cy="171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</row>
      <rowOff>0</rowOff>
    </from>
    <ext cx="266700" cy="171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</row>
      <rowOff>0</rowOff>
    </from>
    <ext cx="266700" cy="171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266700" cy="171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</row>
      <rowOff>0</rowOff>
    </from>
    <ext cx="266700" cy="171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</row>
      <rowOff>0</rowOff>
    </from>
    <ext cx="266700" cy="171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266700" cy="171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266700" cy="171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266700" cy="171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266700" cy="171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266700" cy="171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266700" cy="171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266700" cy="171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266700" cy="171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266700" cy="171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266700" cy="171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266700" cy="171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266700" cy="171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266700" cy="171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266700" cy="171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266700" cy="171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266700" cy="171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266700" cy="171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266700" cy="171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266700" cy="171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266700" cy="171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266700" cy="171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266700" cy="171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266700" cy="171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266700" cy="171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266700" cy="171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37</row>
      <rowOff>0</rowOff>
    </from>
    <ext cx="266700" cy="1714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38</row>
      <rowOff>0</rowOff>
    </from>
    <ext cx="266700" cy="1714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39</row>
      <rowOff>0</rowOff>
    </from>
    <ext cx="266700" cy="1714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266700" cy="1714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41</row>
      <rowOff>0</rowOff>
    </from>
    <ext cx="266700" cy="1714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42</row>
      <rowOff>0</rowOff>
    </from>
    <ext cx="266700" cy="1714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43</row>
      <rowOff>0</rowOff>
    </from>
    <ext cx="266700" cy="1714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44</row>
      <rowOff>0</rowOff>
    </from>
    <ext cx="266700" cy="1714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45</row>
      <rowOff>0</rowOff>
    </from>
    <ext cx="266700" cy="1714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46</row>
      <rowOff>0</rowOff>
    </from>
    <ext cx="266700" cy="1714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47</row>
      <rowOff>0</rowOff>
    </from>
    <ext cx="266700" cy="1714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48</row>
      <rowOff>0</rowOff>
    </from>
    <ext cx="266700" cy="1714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49</row>
      <rowOff>0</rowOff>
    </from>
    <ext cx="266700" cy="1714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GroupStageTable" displayName="GroupStageTable" ref="A3:N51" headerRowCount="1">
  <tableColumns count="14">
    <tableColumn id="1" name="Group"/>
    <tableColumn id="2" name="Seed"/>
    <tableColumn id="3" name="Team"/>
    <tableColumn id="4" name="W"/>
    <tableColumn id="5" name="D"/>
    <tableColumn id="6" name="L"/>
    <tableColumn id="7" name="GF"/>
    <tableColumn id="8" name="GA"/>
    <tableColumn id="9" name="MP"/>
    <tableColumn id="10" name="GD"/>
    <tableColumn id="11" name="Pts"/>
    <tableColumn id="12" name="Group Rank"/>
    <tableColumn id="13" name="3rd Rank"/>
    <tableColumn id="14" name="Status"/>
  </tableColumns>
  <tableStyleInfo name="TableStyleMedium2" showRowStripes="1"/>
</table>
</file>

<file path=xl/tables/table2.xml><?xml version="1.0" encoding="utf-8"?>
<table xmlns="http://schemas.openxmlformats.org/spreadsheetml/2006/main" id="2" name="GroupStageTable_v2" displayName="GroupStageTable_v2" ref="A3:N51" headerRowCount="1">
  <tableColumns count="14">
    <tableColumn id="1" name="Group"/>
    <tableColumn id="2" name="Seed"/>
    <tableColumn id="3" name="Team"/>
    <tableColumn id="4" name="W"/>
    <tableColumn id="5" name="D"/>
    <tableColumn id="6" name="L"/>
    <tableColumn id="7" name="GF"/>
    <tableColumn id="8" name="GA"/>
    <tableColumn id="9" name="MP"/>
    <tableColumn id="10" name="GD"/>
    <tableColumn id="11" name="Pts"/>
    <tableColumn id="12" name="Group Rank"/>
    <tableColumn id="13" name="3rd Rank"/>
    <tableColumn id="14" name="Status"/>
  </tableColumns>
  <tableStyleInfo name="TableStyleMedium2" showRowStripes="1"/>
</table>
</file>

<file path=xl/tables/table3.xml><?xml version="1.0" encoding="utf-8"?>
<table xmlns="http://schemas.openxmlformats.org/spreadsheetml/2006/main" id="3" name="MatchResultsTable" displayName="MatchResultsTable" ref="A3:L75" headerRowCount="1">
  <tableColumns count="12">
    <tableColumn id="1" name="Match"/>
    <tableColumn id="2" name="Date"/>
    <tableColumn id="3" name="Group"/>
    <tableColumn id="4" name="Team 1"/>
    <tableColumn id="5" name="Score 1"/>
    <tableColumn id="6" name="Score 2"/>
    <tableColumn id="7" name="Team 2"/>
    <tableColumn id="8" name="Status"/>
    <tableColumn id="9" name="Winner"/>
    <tableColumn id="10" name="Source URL"/>
    <tableColumn id="11" name="Venue"/>
    <tableColumn id="12" name="Date Key"/>
  </tableColumns>
  <tableStyleInfo name="TableStyleMedium2" showRowStripes="1"/>
</table>
</file>

<file path=xl/tables/table4.xml><?xml version="1.0" encoding="utf-8"?>
<table xmlns="http://schemas.openxmlformats.org/spreadsheetml/2006/main" id="4" name="AnnexCMatrix" displayName="AnnexCMatrix" ref="A1:J496" headerRowCount="1">
  <tableColumns count="10">
    <tableColumn id="1" name="Option"/>
    <tableColumn id="2" name="1A"/>
    <tableColumn id="3" name="1B"/>
    <tableColumn id="4" name="1D"/>
    <tableColumn id="5" name="1E"/>
    <tableColumn id="6" name="1G"/>
    <tableColumn id="7" name="1I"/>
    <tableColumn id="8" name="1K"/>
    <tableColumn id="9" name="1L"/>
    <tableColumn id="10" name="Comb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96" customWidth="1" style="28" min="2" max="2"/>
    <col width="18" customWidth="1" style="28" min="3" max="3"/>
    <col width="18" customWidth="1" style="28" min="4" max="4"/>
    <col width="18" customWidth="1" style="28" min="5" max="5"/>
    <col width="18" customWidth="1" style="28" min="6" max="6"/>
    <col width="18" customWidth="1" style="28" min="7" max="7"/>
    <col width="18" customWidth="1" style="28" min="8" max="8"/>
  </cols>
  <sheetData>
    <row r="1" ht="24" customHeight="1" s="28">
      <c r="A1" s="392" t="inlineStr">
        <is>
          <t>FIFA 2026 Tournament Progress Map - live ready v3</t>
        </is>
      </c>
      <c r="B1" s="1" t="n"/>
      <c r="C1" s="1" t="n"/>
      <c r="D1" s="1" t="n"/>
      <c r="E1" s="1" t="n"/>
      <c r="F1" s="1" t="n"/>
      <c r="G1" s="1" t="n"/>
      <c r="H1" s="1" t="n"/>
      <c r="I1" s="233" t="n"/>
      <c r="J1" s="233" t="n"/>
      <c r="K1" s="233" t="n"/>
      <c r="L1" s="233" t="n"/>
      <c r="M1" s="233" t="n"/>
      <c r="N1" s="233" t="n"/>
      <c r="O1" s="233" t="n"/>
      <c r="P1" s="233" t="n"/>
      <c r="Q1" s="233" t="n"/>
      <c r="R1" s="233" t="n"/>
      <c r="S1" s="233" t="n"/>
      <c r="T1" s="233" t="n"/>
      <c r="U1" s="233" t="n"/>
      <c r="V1" s="233" t="n"/>
      <c r="W1" s="233" t="n"/>
      <c r="X1" s="233" t="n"/>
      <c r="Y1" s="233" t="n"/>
      <c r="Z1" s="233" t="n"/>
      <c r="AA1" s="233" t="n"/>
      <c r="AB1" s="233" t="n"/>
      <c r="AC1" s="233" t="n"/>
      <c r="AD1" s="233" t="n"/>
      <c r="AE1" s="233" t="n"/>
      <c r="AF1" s="233" t="n"/>
      <c r="AG1" s="233" t="n"/>
      <c r="AH1" s="233" t="n"/>
      <c r="AI1" s="233" t="n"/>
      <c r="AJ1" s="233" t="n"/>
      <c r="AK1" s="233" t="n"/>
      <c r="AL1" s="233" t="n"/>
      <c r="AM1" s="233" t="n"/>
      <c r="AN1" s="233" t="n"/>
      <c r="AO1" s="233" t="n"/>
      <c r="AP1" s="233" t="n"/>
      <c r="AQ1" s="233" t="n"/>
      <c r="AR1" s="233" t="n"/>
    </row>
    <row r="2" ht="24" customHeight="1" s="28">
      <c r="C2" s="233" t="n"/>
      <c r="D2" s="233" t="n"/>
      <c r="E2" s="233" t="n"/>
      <c r="F2" s="233" t="n"/>
      <c r="G2" s="233" t="n"/>
      <c r="H2" s="233" t="n"/>
      <c r="I2" s="233" t="n"/>
      <c r="J2" s="233" t="n"/>
      <c r="K2" s="233" t="n"/>
      <c r="L2" s="233" t="n"/>
      <c r="M2" s="233" t="n"/>
      <c r="N2" s="233" t="n"/>
      <c r="O2" s="233" t="n"/>
      <c r="P2" s="233" t="n"/>
      <c r="Q2" s="233" t="n"/>
      <c r="R2" s="233" t="n"/>
      <c r="S2" s="233" t="n"/>
      <c r="T2" s="233" t="n"/>
      <c r="U2" s="233" t="n"/>
      <c r="V2" s="233" t="n"/>
      <c r="W2" s="233" t="n"/>
      <c r="X2" s="233" t="n"/>
      <c r="Y2" s="233" t="n"/>
      <c r="Z2" s="233" t="n"/>
      <c r="AA2" s="233" t="n"/>
      <c r="AB2" s="233" t="n"/>
      <c r="AC2" s="233" t="n"/>
      <c r="AD2" s="233" t="n"/>
      <c r="AE2" s="233" t="n"/>
      <c r="AF2" s="233" t="n"/>
      <c r="AG2" s="233" t="n"/>
      <c r="AH2" s="233" t="n"/>
      <c r="AI2" s="233" t="n"/>
      <c r="AJ2" s="233" t="n"/>
      <c r="AK2" s="233" t="n"/>
      <c r="AL2" s="233" t="n"/>
      <c r="AM2" s="233" t="n"/>
      <c r="AN2" s="233" t="n"/>
      <c r="AO2" s="233" t="n"/>
      <c r="AP2" s="233" t="n"/>
      <c r="AQ2" s="233" t="n"/>
      <c r="AR2" s="233" t="n"/>
    </row>
    <row r="3" ht="24" customHeight="1" s="28">
      <c r="A3" s="393" t="inlineStr">
        <is>
          <t>Exact teams</t>
        </is>
      </c>
      <c r="B3" s="1" t="n"/>
      <c r="C3" s="1" t="n"/>
      <c r="D3" s="1" t="n"/>
      <c r="E3" s="1" t="n"/>
      <c r="F3" s="1" t="n"/>
      <c r="G3" s="1" t="n"/>
      <c r="H3" s="1" t="n"/>
      <c r="I3" s="233" t="n"/>
      <c r="J3" s="233" t="n"/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3" t="n"/>
      <c r="V3" s="233" t="n"/>
      <c r="W3" s="233" t="n"/>
      <c r="X3" s="233" t="n"/>
      <c r="Y3" s="233" t="n"/>
      <c r="Z3" s="233" t="n"/>
      <c r="AA3" s="233" t="n"/>
      <c r="AB3" s="233" t="n"/>
      <c r="AC3" s="233" t="n"/>
      <c r="AD3" s="233" t="n"/>
      <c r="AE3" s="233" t="n"/>
      <c r="AF3" s="233" t="n"/>
      <c r="AG3" s="233" t="n"/>
      <c r="AH3" s="233" t="n"/>
      <c r="AI3" s="233" t="n"/>
      <c r="AJ3" s="233" t="n"/>
      <c r="AK3" s="233" t="n"/>
      <c r="AL3" s="233" t="n"/>
      <c r="AM3" s="233" t="n"/>
      <c r="AN3" s="233" t="n"/>
      <c r="AO3" s="233" t="n"/>
      <c r="AP3" s="233" t="n"/>
      <c r="AQ3" s="233" t="n"/>
      <c r="AR3" s="233" t="n"/>
    </row>
    <row r="4" ht="24" customHeight="1" s="28">
      <c r="A4" s="264" t="inlineStr">
        <is>
          <t>Results so far</t>
        </is>
      </c>
      <c r="B4" s="394" t="inlineStr">
        <is>
          <t>Completed matches through 15 Jun 2026 are filled in the Match Results score cells.</t>
        </is>
      </c>
      <c r="C4" s="1" t="n"/>
      <c r="D4" s="1" t="n"/>
      <c r="E4" s="1" t="n"/>
      <c r="F4" s="1" t="n"/>
      <c r="G4" s="1" t="n"/>
      <c r="H4" s="1" t="n"/>
      <c r="I4" s="233" t="n"/>
      <c r="J4" s="233" t="n"/>
      <c r="K4" s="233" t="n"/>
      <c r="L4" s="233" t="n"/>
      <c r="M4" s="233" t="n"/>
      <c r="N4" s="233" t="n"/>
      <c r="O4" s="233" t="n"/>
      <c r="P4" s="233" t="n"/>
      <c r="Q4" s="233" t="n"/>
      <c r="R4" s="233" t="n"/>
      <c r="S4" s="233" t="n"/>
      <c r="T4" s="233" t="n"/>
      <c r="U4" s="233" t="n"/>
      <c r="V4" s="233" t="n"/>
      <c r="W4" s="233" t="n"/>
      <c r="X4" s="233" t="n"/>
      <c r="Y4" s="233" t="n"/>
      <c r="Z4" s="233" t="n"/>
      <c r="AA4" s="233" t="n"/>
      <c r="AB4" s="233" t="n"/>
      <c r="AC4" s="233" t="n"/>
      <c r="AD4" s="233" t="n"/>
      <c r="AE4" s="233" t="n"/>
      <c r="AF4" s="233" t="n"/>
      <c r="AG4" s="233" t="n"/>
      <c r="AH4" s="233" t="n"/>
      <c r="AI4" s="233" t="n"/>
      <c r="AJ4" s="233" t="n"/>
      <c r="AK4" s="233" t="n"/>
      <c r="AL4" s="233" t="n"/>
      <c r="AM4" s="233" t="n"/>
      <c r="AN4" s="233" t="n"/>
      <c r="AO4" s="233" t="n"/>
      <c r="AP4" s="233" t="n"/>
      <c r="AQ4" s="233" t="n"/>
      <c r="AR4" s="233" t="n"/>
    </row>
    <row r="5" ht="24" customHeight="1" s="28">
      <c r="A5" s="264" t="inlineStr">
        <is>
          <t>Future updates</t>
        </is>
      </c>
      <c r="B5" s="394" t="inlineStr">
        <is>
          <t>Enter future scores in yellow score cells in Match Results or use the live HTML file. Standings, best third-place ranking, knockout entrants and bracket winners update automatically.</t>
        </is>
      </c>
      <c r="C5" s="1" t="n"/>
      <c r="D5" s="1" t="n"/>
      <c r="E5" s="1" t="n"/>
      <c r="F5" s="1" t="n"/>
      <c r="G5" s="1" t="n"/>
      <c r="H5" s="1" t="n"/>
      <c r="I5" s="233" t="n"/>
      <c r="J5" s="233" t="n"/>
      <c r="K5" s="233" t="n"/>
      <c r="L5" s="233" t="n"/>
      <c r="M5" s="233" t="n"/>
      <c r="N5" s="233" t="n"/>
      <c r="O5" s="233" t="n"/>
      <c r="P5" s="233" t="n"/>
      <c r="Q5" s="233" t="n"/>
      <c r="R5" s="233" t="n"/>
      <c r="S5" s="233" t="n"/>
      <c r="T5" s="233" t="n"/>
      <c r="U5" s="233" t="n"/>
      <c r="V5" s="233" t="n"/>
      <c r="W5" s="233" t="n"/>
      <c r="X5" s="233" t="n"/>
      <c r="Y5" s="233" t="n"/>
      <c r="Z5" s="233" t="n"/>
      <c r="AA5" s="233" t="n"/>
      <c r="AB5" s="233" t="n"/>
      <c r="AC5" s="233" t="n"/>
      <c r="AD5" s="233" t="n"/>
      <c r="AE5" s="233" t="n"/>
      <c r="AF5" s="233" t="n"/>
      <c r="AG5" s="233" t="n"/>
      <c r="AH5" s="233" t="n"/>
      <c r="AI5" s="233" t="n"/>
      <c r="AJ5" s="233" t="n"/>
      <c r="AK5" s="233" t="n"/>
      <c r="AL5" s="233" t="n"/>
      <c r="AM5" s="233" t="n"/>
      <c r="AN5" s="233" t="n"/>
      <c r="AO5" s="233" t="n"/>
      <c r="AP5" s="233" t="n"/>
      <c r="AQ5" s="233" t="n"/>
      <c r="AR5" s="233" t="n"/>
    </row>
    <row r="6" ht="24" customHeight="1" s="28">
      <c r="A6" s="264" t="inlineStr">
        <is>
          <t>Tournament map</t>
        </is>
      </c>
      <c r="B6" s="394" t="inlineStr">
        <is>
          <t>The visual bracket uses official match IDs M73 to M104 and has been ordered to follow the official knockout path.</t>
        </is>
      </c>
      <c r="C6" s="1" t="n"/>
      <c r="D6" s="1" t="n"/>
      <c r="E6" s="1" t="n"/>
      <c r="F6" s="1" t="n"/>
      <c r="G6" s="1" t="n"/>
      <c r="H6" s="1" t="n"/>
      <c r="I6" s="233" t="n"/>
      <c r="J6" s="233" t="n"/>
      <c r="K6" s="233" t="n"/>
      <c r="L6" s="233" t="n"/>
      <c r="M6" s="233" t="n"/>
      <c r="N6" s="233" t="n"/>
      <c r="O6" s="233" t="n"/>
      <c r="P6" s="233" t="n"/>
      <c r="Q6" s="233" t="n"/>
      <c r="R6" s="233" t="n"/>
      <c r="S6" s="233" t="n"/>
      <c r="T6" s="233" t="n"/>
      <c r="U6" s="233" t="n"/>
      <c r="V6" s="233" t="n"/>
      <c r="W6" s="233" t="n"/>
      <c r="X6" s="233" t="n"/>
      <c r="Y6" s="233" t="n"/>
      <c r="Z6" s="233" t="n"/>
      <c r="AA6" s="233" t="n"/>
      <c r="AB6" s="233" t="n"/>
      <c r="AC6" s="233" t="n"/>
      <c r="AD6" s="233" t="n"/>
      <c r="AE6" s="233" t="n"/>
      <c r="AF6" s="233" t="n"/>
      <c r="AG6" s="233" t="n"/>
      <c r="AH6" s="233" t="n"/>
      <c r="AI6" s="233" t="n"/>
      <c r="AJ6" s="233" t="n"/>
      <c r="AK6" s="233" t="n"/>
      <c r="AL6" s="233" t="n"/>
      <c r="AM6" s="233" t="n"/>
      <c r="AN6" s="233" t="n"/>
      <c r="AO6" s="233" t="n"/>
      <c r="AP6" s="233" t="n"/>
      <c r="AQ6" s="233" t="n"/>
      <c r="AR6" s="233" t="n"/>
    </row>
    <row r="7" ht="24" customHeight="1" s="28">
      <c r="A7" s="264" t="inlineStr">
        <is>
          <t>Yellow cells</t>
        </is>
      </c>
      <c r="B7" s="394" t="inlineStr">
        <is>
          <t>Editable inputs: future match scores and bracket winner overrides.</t>
        </is>
      </c>
      <c r="C7" s="1" t="n"/>
      <c r="D7" s="1" t="n"/>
      <c r="E7" s="1" t="n"/>
      <c r="F7" s="1" t="n"/>
      <c r="G7" s="1" t="n"/>
      <c r="H7" s="1" t="n"/>
      <c r="I7" s="233" t="n"/>
      <c r="J7" s="233" t="n"/>
      <c r="K7" s="233" t="n"/>
      <c r="L7" s="233" t="n"/>
      <c r="M7" s="233" t="n"/>
      <c r="N7" s="233" t="n"/>
      <c r="O7" s="233" t="n"/>
      <c r="P7" s="233" t="n"/>
      <c r="Q7" s="233" t="n"/>
      <c r="R7" s="233" t="n"/>
      <c r="S7" s="233" t="n"/>
      <c r="T7" s="233" t="n"/>
      <c r="U7" s="233" t="n"/>
      <c r="V7" s="233" t="n"/>
      <c r="W7" s="233" t="n"/>
      <c r="X7" s="233" t="n"/>
      <c r="Y7" s="233" t="n"/>
      <c r="Z7" s="233" t="n"/>
      <c r="AA7" s="233" t="n"/>
      <c r="AB7" s="233" t="n"/>
      <c r="AC7" s="233" t="n"/>
      <c r="AD7" s="233" t="n"/>
      <c r="AE7" s="233" t="n"/>
      <c r="AF7" s="233" t="n"/>
      <c r="AG7" s="233" t="n"/>
      <c r="AH7" s="233" t="n"/>
      <c r="AI7" s="233" t="n"/>
      <c r="AJ7" s="233" t="n"/>
      <c r="AK7" s="233" t="n"/>
      <c r="AL7" s="233" t="n"/>
      <c r="AM7" s="233" t="n"/>
      <c r="AN7" s="233" t="n"/>
      <c r="AO7" s="233" t="n"/>
      <c r="AP7" s="233" t="n"/>
      <c r="AQ7" s="233" t="n"/>
      <c r="AR7" s="233" t="n"/>
    </row>
    <row r="8" ht="24" customHeight="1" s="28">
      <c r="A8" s="264" t="inlineStr">
        <is>
          <t>Green cells</t>
        </is>
      </c>
      <c r="B8" s="394" t="inlineStr">
        <is>
          <t>Formula outputs that should not be edited.</t>
        </is>
      </c>
      <c r="C8" s="1" t="n"/>
      <c r="D8" s="1" t="n"/>
      <c r="E8" s="1" t="n"/>
      <c r="F8" s="1" t="n"/>
      <c r="G8" s="1" t="n"/>
      <c r="H8" s="1" t="n"/>
      <c r="I8" s="233" t="n"/>
      <c r="J8" s="233" t="n"/>
      <c r="K8" s="233" t="n"/>
      <c r="L8" s="233" t="n"/>
      <c r="M8" s="233" t="n"/>
      <c r="N8" s="233" t="n"/>
      <c r="O8" s="233" t="n"/>
      <c r="P8" s="233" t="n"/>
      <c r="Q8" s="233" t="n"/>
      <c r="R8" s="233" t="n"/>
      <c r="S8" s="233" t="n"/>
      <c r="T8" s="233" t="n"/>
      <c r="U8" s="233" t="n"/>
      <c r="V8" s="233" t="n"/>
      <c r="W8" s="233" t="n"/>
      <c r="X8" s="233" t="n"/>
      <c r="Y8" s="233" t="n"/>
      <c r="Z8" s="233" t="n"/>
      <c r="AA8" s="233" t="n"/>
      <c r="AB8" s="233" t="n"/>
      <c r="AC8" s="233" t="n"/>
      <c r="AD8" s="233" t="n"/>
      <c r="AE8" s="233" t="n"/>
      <c r="AF8" s="233" t="n"/>
      <c r="AG8" s="233" t="n"/>
      <c r="AH8" s="233" t="n"/>
      <c r="AI8" s="233" t="n"/>
      <c r="AJ8" s="233" t="n"/>
      <c r="AK8" s="233" t="n"/>
      <c r="AL8" s="233" t="n"/>
      <c r="AM8" s="233" t="n"/>
      <c r="AN8" s="233" t="n"/>
      <c r="AO8" s="233" t="n"/>
      <c r="AP8" s="233" t="n"/>
      <c r="AQ8" s="233" t="n"/>
      <c r="AR8" s="233" t="n"/>
    </row>
    <row r="9" ht="24" customHeight="1" s="28">
      <c r="A9" s="264" t="inlineStr">
        <is>
          <t>Third-place logic</t>
        </is>
      </c>
      <c r="B9" s="394" t="inlineStr">
        <is>
          <t>The Setup sheet uses the FIFA Annex C 495-row matrix to place the eight best third-place teams into the Round of 32.</t>
        </is>
      </c>
      <c r="C9" s="1" t="n"/>
      <c r="D9" s="1" t="n"/>
      <c r="E9" s="1" t="n"/>
      <c r="F9" s="1" t="n"/>
      <c r="G9" s="1" t="n"/>
      <c r="H9" s="1" t="n"/>
      <c r="I9" s="233" t="n"/>
      <c r="J9" s="233" t="n"/>
      <c r="K9" s="233" t="n"/>
      <c r="L9" s="233" t="n"/>
      <c r="M9" s="233" t="n"/>
      <c r="N9" s="233" t="n"/>
      <c r="O9" s="233" t="n"/>
      <c r="P9" s="233" t="n"/>
      <c r="Q9" s="233" t="n"/>
      <c r="R9" s="233" t="n"/>
      <c r="S9" s="233" t="n"/>
      <c r="T9" s="233" t="n"/>
      <c r="U9" s="233" t="n"/>
      <c r="V9" s="233" t="n"/>
      <c r="W9" s="233" t="n"/>
      <c r="X9" s="233" t="n"/>
      <c r="Y9" s="233" t="n"/>
      <c r="Z9" s="233" t="n"/>
      <c r="AA9" s="233" t="n"/>
      <c r="AB9" s="233" t="n"/>
      <c r="AC9" s="233" t="n"/>
      <c r="AD9" s="233" t="n"/>
      <c r="AE9" s="233" t="n"/>
      <c r="AF9" s="233" t="n"/>
      <c r="AG9" s="233" t="n"/>
      <c r="AH9" s="233" t="n"/>
      <c r="AI9" s="233" t="n"/>
      <c r="AJ9" s="233" t="n"/>
      <c r="AK9" s="233" t="n"/>
      <c r="AL9" s="233" t="n"/>
      <c r="AM9" s="233" t="n"/>
      <c r="AN9" s="233" t="n"/>
      <c r="AO9" s="233" t="n"/>
      <c r="AP9" s="233" t="n"/>
      <c r="AQ9" s="233" t="n"/>
      <c r="AR9" s="233" t="n"/>
    </row>
    <row r="10" ht="24" customHeight="1" s="28">
      <c r="A10" s="264" t="inlineStr">
        <is>
          <t>Tie breaker note</t>
        </is>
      </c>
      <c r="B10" s="394" t="inlineStr">
        <is>
          <t>The spreadsheet ranks teams by points, goal difference, goals scored and seed as a final fallback. FIFA may use additional disciplinary or ranking criteria for unresolved ties.</t>
        </is>
      </c>
      <c r="C10" s="1" t="n"/>
      <c r="D10" s="1" t="n"/>
      <c r="E10" s="1" t="n"/>
      <c r="F10" s="1" t="n"/>
      <c r="G10" s="1" t="n"/>
      <c r="H10" s="1" t="n"/>
      <c r="I10" s="233" t="n"/>
      <c r="J10" s="233" t="n"/>
      <c r="K10" s="233" t="n"/>
      <c r="L10" s="233" t="n"/>
      <c r="M10" s="233" t="n"/>
      <c r="N10" s="233" t="n"/>
      <c r="O10" s="233" t="n"/>
      <c r="P10" s="233" t="n"/>
      <c r="Q10" s="233" t="n"/>
      <c r="R10" s="233" t="n"/>
      <c r="S10" s="233" t="n"/>
      <c r="T10" s="233" t="n"/>
      <c r="U10" s="233" t="n"/>
      <c r="V10" s="233" t="n"/>
      <c r="W10" s="233" t="n"/>
      <c r="X10" s="233" t="n"/>
      <c r="Y10" s="233" t="n"/>
      <c r="Z10" s="233" t="n"/>
      <c r="AA10" s="233" t="n"/>
      <c r="AB10" s="233" t="n"/>
      <c r="AC10" s="233" t="n"/>
      <c r="AD10" s="233" t="n"/>
      <c r="AE10" s="233" t="n"/>
      <c r="AF10" s="233" t="n"/>
      <c r="AG10" s="233" t="n"/>
      <c r="AH10" s="233" t="n"/>
      <c r="AI10" s="233" t="n"/>
      <c r="AJ10" s="233" t="n"/>
      <c r="AK10" s="233" t="n"/>
      <c r="AL10" s="233" t="n"/>
      <c r="AM10" s="233" t="n"/>
      <c r="AN10" s="233" t="n"/>
      <c r="AO10" s="233" t="n"/>
      <c r="AP10" s="233" t="n"/>
      <c r="AQ10" s="233" t="n"/>
      <c r="AR10" s="233" t="n"/>
    </row>
    <row r="11" ht="24" customHeight="1" s="28">
      <c r="A11" s="264" t="inlineStr">
        <is>
          <t>Live HTML</t>
        </is>
      </c>
      <c r="B11" s="267" t="inlineStr">
        <is>
          <t>The HTML dashboard tries to refresh from the ESPN scoreboard endpoint on load and every five minutes. Browser CORS restrictions may require manual refresh or manual entry.</t>
        </is>
      </c>
      <c r="C11" s="233" t="n"/>
      <c r="D11" s="233" t="n"/>
      <c r="E11" s="233" t="n"/>
      <c r="F11" s="233" t="n"/>
      <c r="G11" s="233" t="n"/>
      <c r="H11" s="233" t="n"/>
      <c r="I11" s="233" t="n"/>
      <c r="J11" s="233" t="n"/>
      <c r="K11" s="233" t="n"/>
      <c r="L11" s="233" t="n"/>
      <c r="M11" s="233" t="n"/>
      <c r="N11" s="233" t="n"/>
      <c r="O11" s="233" t="n"/>
      <c r="P11" s="233" t="n"/>
      <c r="Q11" s="233" t="n"/>
      <c r="R11" s="233" t="n"/>
      <c r="S11" s="233" t="n"/>
      <c r="T11" s="233" t="n"/>
      <c r="U11" s="233" t="n"/>
      <c r="V11" s="233" t="n"/>
      <c r="W11" s="233" t="n"/>
      <c r="X11" s="233" t="n"/>
      <c r="Y11" s="233" t="n"/>
      <c r="Z11" s="233" t="n"/>
      <c r="AA11" s="233" t="n"/>
      <c r="AB11" s="233" t="n"/>
      <c r="AC11" s="233" t="n"/>
      <c r="AD11" s="233" t="n"/>
      <c r="AE11" s="233" t="n"/>
      <c r="AF11" s="233" t="n"/>
      <c r="AG11" s="233" t="n"/>
      <c r="AH11" s="233" t="n"/>
      <c r="AI11" s="233" t="n"/>
      <c r="AJ11" s="233" t="n"/>
      <c r="AK11" s="233" t="n"/>
      <c r="AL11" s="233" t="n"/>
      <c r="AM11" s="233" t="n"/>
      <c r="AN11" s="233" t="n"/>
      <c r="AO11" s="233" t="n"/>
      <c r="AP11" s="233" t="n"/>
      <c r="AQ11" s="233" t="n"/>
      <c r="AR11" s="233" t="n"/>
    </row>
    <row r="12" ht="24" customHeight="1" s="28">
      <c r="A12" s="264" t="inlineStr">
        <is>
          <t>Updated</t>
        </is>
      </c>
      <c r="B12" s="267" t="inlineStr">
        <is>
          <t>16 Jun 2026, 15:30 UTC</t>
        </is>
      </c>
      <c r="C12" s="233" t="n"/>
      <c r="D12" s="233" t="n"/>
      <c r="E12" s="233" t="n"/>
      <c r="F12" s="233" t="n"/>
      <c r="G12" s="233" t="n"/>
      <c r="H12" s="233" t="n"/>
      <c r="I12" s="233" t="n"/>
      <c r="J12" s="233" t="n"/>
      <c r="K12" s="233" t="n"/>
      <c r="L12" s="233" t="n"/>
      <c r="M12" s="233" t="n"/>
      <c r="N12" s="233" t="n"/>
      <c r="O12" s="233" t="n"/>
      <c r="P12" s="233" t="n"/>
      <c r="Q12" s="233" t="n"/>
      <c r="R12" s="233" t="n"/>
      <c r="S12" s="233" t="n"/>
      <c r="T12" s="233" t="n"/>
      <c r="U12" s="233" t="n"/>
      <c r="V12" s="233" t="n"/>
      <c r="W12" s="233" t="n"/>
      <c r="X12" s="233" t="n"/>
      <c r="Y12" s="233" t="n"/>
      <c r="Z12" s="233" t="n"/>
      <c r="AA12" s="233" t="n"/>
      <c r="AB12" s="233" t="n"/>
      <c r="AC12" s="233" t="n"/>
      <c r="AD12" s="233" t="n"/>
      <c r="AE12" s="233" t="n"/>
      <c r="AF12" s="233" t="n"/>
      <c r="AG12" s="233" t="n"/>
      <c r="AH12" s="233" t="n"/>
      <c r="AI12" s="233" t="n"/>
      <c r="AJ12" s="233" t="n"/>
      <c r="AK12" s="233" t="n"/>
      <c r="AL12" s="233" t="n"/>
      <c r="AM12" s="233" t="n"/>
      <c r="AN12" s="233" t="n"/>
      <c r="AO12" s="233" t="n"/>
      <c r="AP12" s="233" t="n"/>
      <c r="AQ12" s="233" t="n"/>
      <c r="AR12" s="233" t="n"/>
    </row>
    <row r="13">
      <c r="A13" s="264" t="inlineStr">
        <is>
          <t>Official schedule</t>
        </is>
      </c>
      <c r="B13" s="267" t="inlineStr">
        <is>
          <t>https://www.fifa.com/en/tournaments/mens/worldcup/canadamexicousa2026/articles/match-schedule-fixtures-results-teams-stadiums</t>
        </is>
      </c>
      <c r="C13" s="233" t="n"/>
      <c r="D13" s="233" t="n"/>
      <c r="E13" s="233" t="n"/>
      <c r="F13" s="233" t="n"/>
      <c r="G13" s="233" t="n"/>
      <c r="H13" s="233" t="n"/>
      <c r="I13" s="233" t="n"/>
      <c r="J13" s="233" t="n"/>
      <c r="K13" s="233" t="n"/>
      <c r="L13" s="233" t="n"/>
      <c r="M13" s="233" t="n"/>
      <c r="N13" s="233" t="n"/>
      <c r="O13" s="233" t="n"/>
      <c r="P13" s="233" t="n"/>
      <c r="Q13" s="233" t="n"/>
      <c r="R13" s="233" t="n"/>
      <c r="S13" s="233" t="n"/>
      <c r="T13" s="233" t="n"/>
      <c r="U13" s="233" t="n"/>
      <c r="V13" s="233" t="n"/>
      <c r="W13" s="233" t="n"/>
      <c r="X13" s="233" t="n"/>
      <c r="Y13" s="233" t="n"/>
      <c r="Z13" s="233" t="n"/>
      <c r="AA13" s="233" t="n"/>
      <c r="AB13" s="233" t="n"/>
      <c r="AC13" s="233" t="n"/>
      <c r="AD13" s="233" t="n"/>
      <c r="AE13" s="233" t="n"/>
      <c r="AF13" s="233" t="n"/>
      <c r="AG13" s="233" t="n"/>
      <c r="AH13" s="233" t="n"/>
      <c r="AI13" s="233" t="n"/>
      <c r="AJ13" s="233" t="n"/>
      <c r="AK13" s="233" t="n"/>
      <c r="AL13" s="233" t="n"/>
      <c r="AM13" s="233" t="n"/>
      <c r="AN13" s="233" t="n"/>
      <c r="AO13" s="233" t="n"/>
      <c r="AP13" s="233" t="n"/>
      <c r="AQ13" s="233" t="n"/>
      <c r="AR13" s="233" t="n"/>
    </row>
    <row r="14">
      <c r="A14" s="264" t="inlineStr">
        <is>
          <t>Results source</t>
        </is>
      </c>
      <c r="B14" s="267" t="inlineStr">
        <is>
          <t>https://www.espn.com/soccer/story/_/id/48939282/2026-fifa-world-cup-fixtures-results-match-schedule-group-stage-knockout-rounds-bracket</t>
        </is>
      </c>
      <c r="C14" s="233" t="n"/>
      <c r="D14" s="233" t="n"/>
      <c r="E14" s="233" t="n"/>
      <c r="F14" s="233" t="n"/>
      <c r="G14" s="233" t="n"/>
      <c r="H14" s="233" t="n"/>
      <c r="I14" s="233" t="n"/>
      <c r="J14" s="233" t="n"/>
      <c r="K14" s="233" t="n"/>
      <c r="L14" s="233" t="n"/>
      <c r="M14" s="233" t="n"/>
      <c r="N14" s="233" t="n"/>
      <c r="O14" s="233" t="n"/>
      <c r="P14" s="233" t="n"/>
      <c r="Q14" s="233" t="n"/>
      <c r="R14" s="233" t="n"/>
      <c r="S14" s="233" t="n"/>
      <c r="T14" s="233" t="n"/>
      <c r="U14" s="233" t="n"/>
      <c r="V14" s="233" t="n"/>
      <c r="W14" s="233" t="n"/>
      <c r="X14" s="233" t="n"/>
      <c r="Y14" s="233" t="n"/>
      <c r="Z14" s="233" t="n"/>
      <c r="AA14" s="233" t="n"/>
      <c r="AB14" s="233" t="n"/>
      <c r="AC14" s="233" t="n"/>
      <c r="AD14" s="233" t="n"/>
      <c r="AE14" s="233" t="n"/>
      <c r="AF14" s="233" t="n"/>
      <c r="AG14" s="233" t="n"/>
      <c r="AH14" s="233" t="n"/>
      <c r="AI14" s="233" t="n"/>
      <c r="AJ14" s="233" t="n"/>
      <c r="AK14" s="233" t="n"/>
      <c r="AL14" s="233" t="n"/>
      <c r="AM14" s="233" t="n"/>
      <c r="AN14" s="233" t="n"/>
      <c r="AO14" s="233" t="n"/>
      <c r="AP14" s="233" t="n"/>
      <c r="AQ14" s="233" t="n"/>
      <c r="AR14" s="233" t="n"/>
    </row>
    <row r="15">
      <c r="A15" s="264" t="inlineStr">
        <is>
          <t>Regulations source</t>
        </is>
      </c>
      <c r="B15" s="267" t="inlineStr">
        <is>
          <t>https://cdn.thuvienphapluat.vn/phap-luat/2022-2/TTKP/FWC26-regulations.pdf</t>
        </is>
      </c>
      <c r="C15" s="233" t="n"/>
      <c r="D15" s="233" t="n"/>
      <c r="E15" s="233" t="n"/>
      <c r="F15" s="233" t="n"/>
      <c r="G15" s="233" t="n"/>
      <c r="H15" s="233" t="n"/>
      <c r="I15" s="233" t="n"/>
      <c r="J15" s="233" t="n"/>
      <c r="K15" s="233" t="n"/>
      <c r="L15" s="233" t="n"/>
      <c r="M15" s="233" t="n"/>
      <c r="N15" s="233" t="n"/>
      <c r="O15" s="233" t="n"/>
      <c r="P15" s="233" t="n"/>
      <c r="Q15" s="233" t="n"/>
      <c r="R15" s="233" t="n"/>
      <c r="S15" s="233" t="n"/>
      <c r="T15" s="233" t="n"/>
      <c r="U15" s="233" t="n"/>
      <c r="V15" s="233" t="n"/>
      <c r="W15" s="233" t="n"/>
      <c r="X15" s="233" t="n"/>
      <c r="Y15" s="233" t="n"/>
      <c r="Z15" s="233" t="n"/>
      <c r="AA15" s="233" t="n"/>
      <c r="AB15" s="233" t="n"/>
      <c r="AC15" s="233" t="n"/>
      <c r="AD15" s="233" t="n"/>
      <c r="AE15" s="233" t="n"/>
      <c r="AF15" s="233" t="n"/>
      <c r="AG15" s="233" t="n"/>
      <c r="AH15" s="233" t="n"/>
      <c r="AI15" s="233" t="n"/>
      <c r="AJ15" s="233" t="n"/>
      <c r="AK15" s="233" t="n"/>
      <c r="AL15" s="233" t="n"/>
      <c r="AM15" s="233" t="n"/>
      <c r="AN15" s="233" t="n"/>
      <c r="AO15" s="233" t="n"/>
      <c r="AP15" s="233" t="n"/>
      <c r="AQ15" s="233" t="n"/>
      <c r="AR15" s="233" t="n"/>
    </row>
    <row r="16">
      <c r="C16" s="233" t="n"/>
      <c r="D16" s="233" t="n"/>
      <c r="E16" s="233" t="n"/>
      <c r="F16" s="233" t="n"/>
      <c r="G16" s="233" t="n"/>
      <c r="H16" s="233" t="n"/>
      <c r="I16" s="233" t="n"/>
      <c r="J16" s="233" t="n"/>
      <c r="K16" s="233" t="n"/>
      <c r="L16" s="233" t="n"/>
      <c r="M16" s="233" t="n"/>
      <c r="N16" s="233" t="n"/>
      <c r="O16" s="233" t="n"/>
      <c r="P16" s="233" t="n"/>
      <c r="Q16" s="233" t="n"/>
      <c r="R16" s="233" t="n"/>
      <c r="S16" s="233" t="n"/>
      <c r="T16" s="233" t="n"/>
      <c r="U16" s="233" t="n"/>
      <c r="V16" s="233" t="n"/>
      <c r="W16" s="233" t="n"/>
      <c r="X16" s="233" t="n"/>
      <c r="Y16" s="233" t="n"/>
      <c r="Z16" s="233" t="n"/>
      <c r="AA16" s="233" t="n"/>
      <c r="AB16" s="233" t="n"/>
      <c r="AC16" s="233" t="n"/>
      <c r="AD16" s="233" t="n"/>
      <c r="AE16" s="233" t="n"/>
      <c r="AF16" s="233" t="n"/>
      <c r="AG16" s="233" t="n"/>
      <c r="AH16" s="233" t="n"/>
      <c r="AI16" s="233" t="n"/>
      <c r="AJ16" s="233" t="n"/>
      <c r="AK16" s="233" t="n"/>
      <c r="AL16" s="233" t="n"/>
      <c r="AM16" s="233" t="n"/>
      <c r="AN16" s="233" t="n"/>
      <c r="AO16" s="233" t="n"/>
      <c r="AP16" s="233" t="n"/>
      <c r="AQ16" s="233" t="n"/>
      <c r="AR16" s="233" t="n"/>
    </row>
    <row r="17">
      <c r="A17" s="332" t="inlineStr">
        <is>
          <t>New in v4</t>
        </is>
      </c>
      <c r="B17" s="338" t="inlineStr">
        <is>
          <t>Knockout Pitch Map is the main flagged visual view. Edit yellow score cells or pick dropdowns there.</t>
        </is>
      </c>
      <c r="C17" s="233" t="n"/>
      <c r="D17" s="233" t="n"/>
      <c r="E17" s="233" t="n"/>
      <c r="F17" s="233" t="n"/>
      <c r="G17" s="233" t="n"/>
      <c r="H17" s="233" t="n"/>
      <c r="I17" s="233" t="n"/>
      <c r="J17" s="233" t="n"/>
      <c r="K17" s="233" t="n"/>
      <c r="L17" s="233" t="n"/>
      <c r="M17" s="233" t="n"/>
      <c r="N17" s="233" t="n"/>
      <c r="O17" s="233" t="n"/>
      <c r="P17" s="233" t="n"/>
      <c r="Q17" s="233" t="n"/>
      <c r="R17" s="233" t="n"/>
      <c r="S17" s="233" t="n"/>
      <c r="T17" s="233" t="n"/>
      <c r="U17" s="233" t="n"/>
      <c r="V17" s="233" t="n"/>
      <c r="W17" s="233" t="n"/>
      <c r="X17" s="233" t="n"/>
      <c r="Y17" s="233" t="n"/>
      <c r="Z17" s="233" t="n"/>
      <c r="AA17" s="233" t="n"/>
      <c r="AB17" s="233" t="n"/>
      <c r="AC17" s="233" t="n"/>
      <c r="AD17" s="233" t="n"/>
      <c r="AE17" s="233" t="n"/>
      <c r="AF17" s="233" t="n"/>
      <c r="AG17" s="233" t="n"/>
      <c r="AH17" s="233" t="n"/>
      <c r="AI17" s="233" t="n"/>
      <c r="AJ17" s="233" t="n"/>
      <c r="AK17" s="233" t="n"/>
      <c r="AL17" s="233" t="n"/>
      <c r="AM17" s="233" t="n"/>
      <c r="AN17" s="233" t="n"/>
      <c r="AO17" s="233" t="n"/>
      <c r="AP17" s="233" t="n"/>
      <c r="AQ17" s="233" t="n"/>
      <c r="AR17" s="233" t="n"/>
    </row>
    <row r="18">
      <c r="A18" s="332" t="inlineStr">
        <is>
          <t>Flags</t>
        </is>
      </c>
      <c r="B18" s="338" t="inlineStr">
        <is>
          <t>Flags are stored in Setup column B and displayed on the pitch map and the new Group Stage flagged column.</t>
        </is>
      </c>
      <c r="C18" s="233" t="n"/>
      <c r="D18" s="233" t="n"/>
      <c r="E18" s="233" t="n"/>
      <c r="F18" s="233" t="n"/>
      <c r="G18" s="233" t="n"/>
      <c r="H18" s="233" t="n"/>
      <c r="I18" s="233" t="n"/>
      <c r="J18" s="233" t="n"/>
      <c r="K18" s="233" t="n"/>
      <c r="L18" s="233" t="n"/>
      <c r="M18" s="233" t="n"/>
      <c r="N18" s="233" t="n"/>
      <c r="O18" s="233" t="n"/>
      <c r="P18" s="233" t="n"/>
      <c r="Q18" s="233" t="n"/>
      <c r="R18" s="233" t="n"/>
      <c r="S18" s="233" t="n"/>
      <c r="T18" s="233" t="n"/>
      <c r="U18" s="233" t="n"/>
      <c r="V18" s="233" t="n"/>
      <c r="W18" s="233" t="n"/>
      <c r="X18" s="233" t="n"/>
      <c r="Y18" s="233" t="n"/>
      <c r="Z18" s="233" t="n"/>
      <c r="AA18" s="233" t="n"/>
      <c r="AB18" s="233" t="n"/>
      <c r="AC18" s="233" t="n"/>
      <c r="AD18" s="233" t="n"/>
      <c r="AE18" s="233" t="n"/>
      <c r="AF18" s="233" t="n"/>
      <c r="AG18" s="233" t="n"/>
      <c r="AH18" s="233" t="n"/>
      <c r="AI18" s="233" t="n"/>
      <c r="AJ18" s="233" t="n"/>
      <c r="AK18" s="233" t="n"/>
      <c r="AL18" s="233" t="n"/>
      <c r="AM18" s="233" t="n"/>
      <c r="AN18" s="233" t="n"/>
      <c r="AO18" s="233" t="n"/>
      <c r="AP18" s="233" t="n"/>
      <c r="AQ18" s="233" t="n"/>
      <c r="AR18" s="233" t="n"/>
    </row>
    <row r="19">
      <c r="A19" s="332" t="inlineStr">
        <is>
          <t>Live browser version</t>
        </is>
      </c>
      <c r="B19" s="338" t="inlineStr">
        <is>
          <t>The HTML version includes a live refresh button and five minute polling using ESPN public scoreboard data.</t>
        </is>
      </c>
      <c r="C19" s="233" t="n"/>
      <c r="D19" s="233" t="n"/>
      <c r="E19" s="233" t="n"/>
      <c r="F19" s="233" t="n"/>
      <c r="G19" s="233" t="n"/>
      <c r="H19" s="233" t="n"/>
      <c r="I19" s="233" t="n"/>
      <c r="J19" s="233" t="n"/>
      <c r="K19" s="233" t="n"/>
      <c r="L19" s="233" t="n"/>
      <c r="M19" s="233" t="n"/>
      <c r="N19" s="233" t="n"/>
      <c r="O19" s="233" t="n"/>
      <c r="P19" s="233" t="n"/>
      <c r="Q19" s="233" t="n"/>
      <c r="R19" s="233" t="n"/>
      <c r="S19" s="233" t="n"/>
      <c r="T19" s="233" t="n"/>
      <c r="U19" s="233" t="n"/>
      <c r="V19" s="233" t="n"/>
      <c r="W19" s="233" t="n"/>
      <c r="X19" s="233" t="n"/>
      <c r="Y19" s="233" t="n"/>
      <c r="Z19" s="233" t="n"/>
      <c r="AA19" s="233" t="n"/>
      <c r="AB19" s="233" t="n"/>
      <c r="AC19" s="233" t="n"/>
      <c r="AD19" s="233" t="n"/>
      <c r="AE19" s="233" t="n"/>
      <c r="AF19" s="233" t="n"/>
      <c r="AG19" s="233" t="n"/>
      <c r="AH19" s="233" t="n"/>
      <c r="AI19" s="233" t="n"/>
      <c r="AJ19" s="233" t="n"/>
      <c r="AK19" s="233" t="n"/>
      <c r="AL19" s="233" t="n"/>
      <c r="AM19" s="233" t="n"/>
      <c r="AN19" s="233" t="n"/>
      <c r="AO19" s="233" t="n"/>
      <c r="AP19" s="233" t="n"/>
      <c r="AQ19" s="233" t="n"/>
      <c r="AR19" s="233" t="n"/>
    </row>
    <row r="20">
      <c r="A20" s="332" t="inlineStr">
        <is>
          <t>Excel version</t>
        </is>
      </c>
      <c r="B20" s="338" t="inlineStr">
        <is>
          <t>Excel remains macro free. It updates automatically from entered scores and picks.</t>
        </is>
      </c>
      <c r="C20" s="233" t="n"/>
      <c r="D20" s="233" t="n"/>
      <c r="E20" s="233" t="n"/>
      <c r="F20" s="233" t="n"/>
      <c r="G20" s="233" t="n"/>
      <c r="H20" s="233" t="n"/>
      <c r="I20" s="233" t="n"/>
      <c r="J20" s="233" t="n"/>
      <c r="K20" s="233" t="n"/>
      <c r="L20" s="233" t="n"/>
      <c r="M20" s="233" t="n"/>
      <c r="N20" s="233" t="n"/>
      <c r="O20" s="233" t="n"/>
      <c r="P20" s="233" t="n"/>
      <c r="Q20" s="233" t="n"/>
      <c r="R20" s="233" t="n"/>
      <c r="S20" s="233" t="n"/>
      <c r="T20" s="233" t="n"/>
      <c r="U20" s="233" t="n"/>
      <c r="V20" s="233" t="n"/>
      <c r="W20" s="233" t="n"/>
      <c r="X20" s="233" t="n"/>
      <c r="Y20" s="233" t="n"/>
      <c r="Z20" s="233" t="n"/>
      <c r="AA20" s="233" t="n"/>
      <c r="AB20" s="233" t="n"/>
      <c r="AC20" s="233" t="n"/>
      <c r="AD20" s="233" t="n"/>
      <c r="AE20" s="233" t="n"/>
      <c r="AF20" s="233" t="n"/>
      <c r="AG20" s="233" t="n"/>
      <c r="AH20" s="233" t="n"/>
      <c r="AI20" s="233" t="n"/>
      <c r="AJ20" s="233" t="n"/>
      <c r="AK20" s="233" t="n"/>
      <c r="AL20" s="233" t="n"/>
      <c r="AM20" s="233" t="n"/>
      <c r="AN20" s="233" t="n"/>
      <c r="AO20" s="233" t="n"/>
      <c r="AP20" s="233" t="n"/>
      <c r="AQ20" s="233" t="n"/>
      <c r="AR20" s="233" t="n"/>
    </row>
    <row r="21">
      <c r="A21" s="333" t="inlineStr">
        <is>
          <t>Source basis</t>
        </is>
      </c>
      <c r="B21" s="339" t="inlineStr">
        <is>
          <t>FIFA official schedule and ESPN fixtures and results page.</t>
        </is>
      </c>
      <c r="C21" s="233" t="n"/>
      <c r="D21" s="233" t="n"/>
      <c r="E21" s="233" t="n"/>
      <c r="F21" s="233" t="n"/>
      <c r="G21" s="233" t="n"/>
      <c r="H21" s="233" t="n"/>
      <c r="I21" s="233" t="n"/>
      <c r="J21" s="233" t="n"/>
      <c r="K21" s="233" t="n"/>
      <c r="L21" s="233" t="n"/>
      <c r="M21" s="233" t="n"/>
      <c r="N21" s="233" t="n"/>
      <c r="O21" s="233" t="n"/>
      <c r="P21" s="233" t="n"/>
      <c r="Q21" s="233" t="n"/>
      <c r="R21" s="233" t="n"/>
      <c r="S21" s="233" t="n"/>
      <c r="T21" s="233" t="n"/>
      <c r="U21" s="233" t="n"/>
      <c r="V21" s="233" t="n"/>
      <c r="W21" s="233" t="n"/>
      <c r="X21" s="233" t="n"/>
      <c r="Y21" s="233" t="n"/>
      <c r="Z21" s="233" t="n"/>
      <c r="AA21" s="233" t="n"/>
      <c r="AB21" s="233" t="n"/>
      <c r="AC21" s="233" t="n"/>
      <c r="AD21" s="233" t="n"/>
      <c r="AE21" s="233" t="n"/>
      <c r="AF21" s="233" t="n"/>
      <c r="AG21" s="233" t="n"/>
      <c r="AH21" s="233" t="n"/>
      <c r="AI21" s="233" t="n"/>
      <c r="AJ21" s="233" t="n"/>
      <c r="AK21" s="233" t="n"/>
      <c r="AL21" s="233" t="n"/>
      <c r="AM21" s="233" t="n"/>
      <c r="AN21" s="233" t="n"/>
      <c r="AO21" s="233" t="n"/>
      <c r="AP21" s="233" t="n"/>
      <c r="AQ21" s="233" t="n"/>
      <c r="AR21" s="233" t="n"/>
    </row>
    <row r="22">
      <c r="A22" s="233" t="str"/>
      <c r="B22" s="233" t="str"/>
      <c r="C22" s="233" t="n"/>
      <c r="D22" s="233" t="n"/>
      <c r="E22" s="233" t="n"/>
      <c r="F22" s="233" t="n"/>
      <c r="G22" s="233" t="n"/>
      <c r="H22" s="233" t="n"/>
      <c r="I22" s="233" t="n"/>
      <c r="J22" s="233" t="n"/>
      <c r="K22" s="233" t="n"/>
      <c r="L22" s="233" t="n"/>
      <c r="M22" s="233" t="n"/>
      <c r="N22" s="233" t="n"/>
      <c r="O22" s="233" t="n"/>
      <c r="P22" s="233" t="n"/>
      <c r="Q22" s="233" t="n"/>
      <c r="R22" s="233" t="n"/>
      <c r="S22" s="233" t="n"/>
      <c r="T22" s="233" t="n"/>
      <c r="U22" s="233" t="n"/>
      <c r="V22" s="233" t="n"/>
      <c r="W22" s="233" t="n"/>
      <c r="X22" s="233" t="n"/>
      <c r="Y22" s="233" t="n"/>
      <c r="Z22" s="233" t="n"/>
      <c r="AA22" s="233" t="n"/>
      <c r="AB22" s="233" t="n"/>
      <c r="AC22" s="233" t="n"/>
      <c r="AD22" s="233" t="n"/>
      <c r="AE22" s="233" t="n"/>
      <c r="AF22" s="233" t="n"/>
      <c r="AG22" s="233" t="n"/>
      <c r="AH22" s="233" t="n"/>
      <c r="AI22" s="233" t="n"/>
      <c r="AJ22" s="233" t="n"/>
      <c r="AK22" s="233" t="n"/>
      <c r="AL22" s="233" t="n"/>
      <c r="AM22" s="233" t="n"/>
      <c r="AN22" s="233" t="n"/>
      <c r="AO22" s="233" t="n"/>
      <c r="AP22" s="233" t="n"/>
      <c r="AQ22" s="233" t="n"/>
      <c r="AR22" s="233" t="n"/>
    </row>
    <row r="23">
      <c r="A23" s="395" t="inlineStr">
        <is>
          <t>v5 flag fix</t>
        </is>
      </c>
      <c r="B23" s="396" t="inlineStr">
        <is>
          <t>Replaced emoji flags with embedded PNG flag images so they display even where country flag emoji are unsupported.</t>
        </is>
      </c>
      <c r="C23" s="233" t="n"/>
      <c r="D23" s="233" t="n"/>
      <c r="E23" s="233" t="n"/>
      <c r="F23" s="233" t="n"/>
      <c r="G23" s="233" t="n"/>
      <c r="H23" s="233" t="n"/>
      <c r="I23" s="233" t="n"/>
      <c r="J23" s="233" t="n"/>
      <c r="K23" s="233" t="n"/>
      <c r="L23" s="233" t="n"/>
      <c r="M23" s="233" t="n"/>
      <c r="N23" s="233" t="n"/>
      <c r="O23" s="233" t="n"/>
      <c r="P23" s="233" t="n"/>
      <c r="Q23" s="233" t="n"/>
      <c r="R23" s="233" t="n"/>
      <c r="S23" s="233" t="n"/>
      <c r="T23" s="233" t="n"/>
      <c r="U23" s="233" t="n"/>
      <c r="V23" s="233" t="n"/>
      <c r="W23" s="233" t="n"/>
      <c r="X23" s="233" t="n"/>
      <c r="Y23" s="233" t="n"/>
      <c r="Z23" s="233" t="n"/>
      <c r="AA23" s="233" t="n"/>
      <c r="AB23" s="233" t="n"/>
      <c r="AC23" s="233" t="n"/>
      <c r="AD23" s="233" t="n"/>
      <c r="AE23" s="233" t="n"/>
      <c r="AF23" s="233" t="n"/>
      <c r="AG23" s="233" t="n"/>
      <c r="AH23" s="233" t="n"/>
      <c r="AI23" s="233" t="n"/>
      <c r="AJ23" s="233" t="n"/>
      <c r="AK23" s="233" t="n"/>
      <c r="AL23" s="233" t="n"/>
      <c r="AM23" s="233" t="n"/>
      <c r="AN23" s="233" t="n"/>
      <c r="AO23" s="233" t="n"/>
      <c r="AP23" s="233" t="n"/>
      <c r="AQ23" s="233" t="n"/>
      <c r="AR23" s="233" t="n"/>
    </row>
    <row r="24">
      <c r="A24" s="395" t="inlineStr">
        <is>
          <t>Where to view</t>
        </is>
      </c>
      <c r="B24" s="396" t="inlineStr">
        <is>
          <t>Open Knockout Pitch Map for the pitch style bracket, Group Stage for all teams, and Flag Assets for all embedded images.</t>
        </is>
      </c>
      <c r="C24" s="233" t="n"/>
      <c r="D24" s="233" t="n"/>
      <c r="E24" s="233" t="n"/>
      <c r="F24" s="233" t="n"/>
      <c r="G24" s="233" t="n"/>
      <c r="H24" s="233" t="n"/>
      <c r="I24" s="233" t="n"/>
      <c r="J24" s="233" t="n"/>
      <c r="K24" s="233" t="n"/>
      <c r="L24" s="233" t="n"/>
      <c r="M24" s="233" t="n"/>
      <c r="N24" s="233" t="n"/>
      <c r="O24" s="233" t="n"/>
      <c r="P24" s="233" t="n"/>
      <c r="Q24" s="233" t="n"/>
      <c r="R24" s="233" t="n"/>
      <c r="S24" s="233" t="n"/>
      <c r="T24" s="233" t="n"/>
      <c r="U24" s="233" t="n"/>
      <c r="V24" s="233" t="n"/>
      <c r="W24" s="233" t="n"/>
      <c r="X24" s="233" t="n"/>
      <c r="Y24" s="233" t="n"/>
      <c r="Z24" s="233" t="n"/>
      <c r="AA24" s="233" t="n"/>
      <c r="AB24" s="233" t="n"/>
      <c r="AC24" s="233" t="n"/>
      <c r="AD24" s="233" t="n"/>
      <c r="AE24" s="233" t="n"/>
      <c r="AF24" s="233" t="n"/>
      <c r="AG24" s="233" t="n"/>
      <c r="AH24" s="233" t="n"/>
      <c r="AI24" s="233" t="n"/>
      <c r="AJ24" s="233" t="n"/>
      <c r="AK24" s="233" t="n"/>
      <c r="AL24" s="233" t="n"/>
      <c r="AM24" s="233" t="n"/>
      <c r="AN24" s="233" t="n"/>
      <c r="AO24" s="233" t="n"/>
      <c r="AP24" s="233" t="n"/>
      <c r="AQ24" s="233" t="n"/>
      <c r="AR24" s="233" t="n"/>
    </row>
    <row r="25">
      <c r="A25" s="395" t="inlineStr">
        <is>
          <t>Browser prototype</t>
        </is>
      </c>
      <c r="B25" s="396" t="inlineStr">
        <is>
          <t>The HTML file uses embedded image flags throughout knockout cards, group tables and fixtures.</t>
        </is>
      </c>
      <c r="C25" s="233" t="n"/>
      <c r="D25" s="233" t="n"/>
      <c r="E25" s="233" t="n"/>
      <c r="F25" s="233" t="n"/>
      <c r="G25" s="233" t="n"/>
      <c r="H25" s="233" t="n"/>
      <c r="I25" s="233" t="n"/>
      <c r="J25" s="233" t="n"/>
      <c r="K25" s="233" t="n"/>
      <c r="L25" s="233" t="n"/>
      <c r="M25" s="233" t="n"/>
      <c r="N25" s="233" t="n"/>
      <c r="O25" s="233" t="n"/>
      <c r="P25" s="233" t="n"/>
      <c r="Q25" s="233" t="n"/>
      <c r="R25" s="233" t="n"/>
      <c r="S25" s="233" t="n"/>
      <c r="T25" s="233" t="n"/>
      <c r="U25" s="233" t="n"/>
      <c r="V25" s="233" t="n"/>
      <c r="W25" s="233" t="n"/>
      <c r="X25" s="233" t="n"/>
      <c r="Y25" s="233" t="n"/>
      <c r="Z25" s="233" t="n"/>
      <c r="AA25" s="233" t="n"/>
      <c r="AB25" s="233" t="n"/>
      <c r="AC25" s="233" t="n"/>
      <c r="AD25" s="233" t="n"/>
      <c r="AE25" s="233" t="n"/>
      <c r="AF25" s="233" t="n"/>
      <c r="AG25" s="233" t="n"/>
      <c r="AH25" s="233" t="n"/>
      <c r="AI25" s="233" t="n"/>
      <c r="AJ25" s="233" t="n"/>
      <c r="AK25" s="233" t="n"/>
      <c r="AL25" s="233" t="n"/>
      <c r="AM25" s="233" t="n"/>
      <c r="AN25" s="233" t="n"/>
      <c r="AO25" s="233" t="n"/>
      <c r="AP25" s="233" t="n"/>
      <c r="AQ25" s="233" t="n"/>
      <c r="AR25" s="233" t="n"/>
    </row>
    <row r="26">
      <c r="A26" s="395" t="inlineStr">
        <is>
          <t>Excel note</t>
        </is>
      </c>
      <c r="B26" s="396" t="inlineStr">
        <is>
          <t>Excel flag images are embedded visuals. The tournament progression formulas remain in the workbook.</t>
        </is>
      </c>
      <c r="C26" s="233" t="n"/>
      <c r="D26" s="233" t="n"/>
      <c r="E26" s="233" t="n"/>
      <c r="F26" s="233" t="n"/>
      <c r="G26" s="233" t="n"/>
      <c r="H26" s="233" t="n"/>
      <c r="I26" s="233" t="n"/>
      <c r="J26" s="233" t="n"/>
      <c r="K26" s="233" t="n"/>
      <c r="L26" s="233" t="n"/>
      <c r="M26" s="233" t="n"/>
      <c r="N26" s="233" t="n"/>
      <c r="O26" s="233" t="n"/>
      <c r="P26" s="233" t="n"/>
      <c r="Q26" s="233" t="n"/>
      <c r="R26" s="233" t="n"/>
      <c r="S26" s="233" t="n"/>
      <c r="T26" s="233" t="n"/>
      <c r="U26" s="233" t="n"/>
      <c r="V26" s="233" t="n"/>
      <c r="W26" s="233" t="n"/>
      <c r="X26" s="233" t="n"/>
      <c r="Y26" s="233" t="n"/>
      <c r="Z26" s="233" t="n"/>
      <c r="AA26" s="233" t="n"/>
      <c r="AB26" s="233" t="n"/>
      <c r="AC26" s="233" t="n"/>
      <c r="AD26" s="233" t="n"/>
      <c r="AE26" s="233" t="n"/>
      <c r="AF26" s="233" t="n"/>
      <c r="AG26" s="233" t="n"/>
      <c r="AH26" s="233" t="n"/>
      <c r="AI26" s="233" t="n"/>
      <c r="AJ26" s="233" t="n"/>
      <c r="AK26" s="233" t="n"/>
      <c r="AL26" s="233" t="n"/>
      <c r="AM26" s="233" t="n"/>
      <c r="AN26" s="233" t="n"/>
      <c r="AO26" s="233" t="n"/>
      <c r="AP26" s="233" t="n"/>
      <c r="AQ26" s="233" t="n"/>
      <c r="AR26" s="233" t="n"/>
    </row>
    <row r="27">
      <c r="A27" s="233" t="n"/>
      <c r="B27" s="233" t="n"/>
      <c r="C27" s="233" t="n"/>
      <c r="D27" s="233" t="n"/>
      <c r="E27" s="233" t="n"/>
      <c r="F27" s="233" t="n"/>
      <c r="G27" s="233" t="n"/>
      <c r="H27" s="233" t="n"/>
      <c r="I27" s="233" t="n"/>
      <c r="J27" s="233" t="n"/>
      <c r="K27" s="233" t="n"/>
      <c r="L27" s="233" t="n"/>
      <c r="M27" s="233" t="n"/>
      <c r="N27" s="233" t="n"/>
      <c r="O27" s="233" t="n"/>
      <c r="P27" s="233" t="n"/>
      <c r="Q27" s="233" t="n"/>
      <c r="R27" s="233" t="n"/>
      <c r="S27" s="233" t="n"/>
      <c r="T27" s="233" t="n"/>
      <c r="U27" s="233" t="n"/>
      <c r="V27" s="233" t="n"/>
      <c r="W27" s="233" t="n"/>
      <c r="X27" s="233" t="n"/>
      <c r="Y27" s="233" t="n"/>
      <c r="Z27" s="233" t="n"/>
      <c r="AA27" s="233" t="n"/>
      <c r="AB27" s="233" t="n"/>
      <c r="AC27" s="233" t="n"/>
      <c r="AD27" s="233" t="n"/>
      <c r="AE27" s="233" t="n"/>
      <c r="AF27" s="233" t="n"/>
      <c r="AG27" s="233" t="n"/>
      <c r="AH27" s="233" t="n"/>
      <c r="AI27" s="233" t="n"/>
      <c r="AJ27" s="233" t="n"/>
      <c r="AK27" s="233" t="n"/>
      <c r="AL27" s="233" t="n"/>
      <c r="AM27" s="233" t="n"/>
      <c r="AN27" s="233" t="n"/>
      <c r="AO27" s="233" t="n"/>
      <c r="AP27" s="233" t="n"/>
      <c r="AQ27" s="233" t="n"/>
      <c r="AR27" s="233" t="n"/>
    </row>
    <row r="28">
      <c r="A28" s="233" t="n"/>
      <c r="B28" s="233" t="n"/>
      <c r="C28" s="233" t="n"/>
      <c r="D28" s="233" t="n"/>
      <c r="E28" s="233" t="n"/>
      <c r="F28" s="233" t="n"/>
      <c r="G28" s="233" t="n"/>
      <c r="H28" s="233" t="n"/>
      <c r="I28" s="233" t="n"/>
      <c r="J28" s="233" t="n"/>
      <c r="K28" s="233" t="n"/>
      <c r="L28" s="233" t="n"/>
      <c r="M28" s="233" t="n"/>
      <c r="N28" s="233" t="n"/>
      <c r="O28" s="233" t="n"/>
      <c r="P28" s="233" t="n"/>
      <c r="Q28" s="233" t="n"/>
      <c r="R28" s="233" t="n"/>
      <c r="S28" s="233" t="n"/>
      <c r="T28" s="233" t="n"/>
      <c r="U28" s="233" t="n"/>
      <c r="V28" s="233" t="n"/>
      <c r="W28" s="233" t="n"/>
      <c r="X28" s="233" t="n"/>
      <c r="Y28" s="233" t="n"/>
      <c r="Z28" s="233" t="n"/>
      <c r="AA28" s="233" t="n"/>
      <c r="AB28" s="233" t="n"/>
      <c r="AC28" s="233" t="n"/>
      <c r="AD28" s="233" t="n"/>
      <c r="AE28" s="233" t="n"/>
      <c r="AF28" s="233" t="n"/>
      <c r="AG28" s="233" t="n"/>
      <c r="AH28" s="233" t="n"/>
      <c r="AI28" s="233" t="n"/>
      <c r="AJ28" s="233" t="n"/>
      <c r="AK28" s="233" t="n"/>
      <c r="AL28" s="233" t="n"/>
      <c r="AM28" s="233" t="n"/>
      <c r="AN28" s="233" t="n"/>
      <c r="AO28" s="233" t="n"/>
      <c r="AP28" s="233" t="n"/>
      <c r="AQ28" s="233" t="n"/>
      <c r="AR28" s="233" t="n"/>
    </row>
    <row r="29">
      <c r="A29" s="233" t="n"/>
      <c r="B29" s="233" t="n"/>
      <c r="C29" s="233" t="n"/>
      <c r="D29" s="233" t="n"/>
      <c r="E29" s="233" t="n"/>
      <c r="F29" s="233" t="n"/>
      <c r="G29" s="233" t="n"/>
      <c r="H29" s="233" t="n"/>
      <c r="I29" s="233" t="n"/>
      <c r="J29" s="233" t="n"/>
      <c r="K29" s="233" t="n"/>
      <c r="L29" s="233" t="n"/>
      <c r="M29" s="233" t="n"/>
      <c r="N29" s="233" t="n"/>
      <c r="O29" s="233" t="n"/>
      <c r="P29" s="233" t="n"/>
      <c r="Q29" s="233" t="n"/>
      <c r="R29" s="233" t="n"/>
      <c r="S29" s="233" t="n"/>
      <c r="T29" s="233" t="n"/>
      <c r="U29" s="233" t="n"/>
      <c r="V29" s="233" t="n"/>
      <c r="W29" s="233" t="n"/>
      <c r="X29" s="233" t="n"/>
      <c r="Y29" s="233" t="n"/>
      <c r="Z29" s="233" t="n"/>
      <c r="AA29" s="233" t="n"/>
      <c r="AB29" s="233" t="n"/>
      <c r="AC29" s="233" t="n"/>
      <c r="AD29" s="233" t="n"/>
      <c r="AE29" s="233" t="n"/>
      <c r="AF29" s="233" t="n"/>
      <c r="AG29" s="233" t="n"/>
      <c r="AH29" s="233" t="n"/>
      <c r="AI29" s="233" t="n"/>
      <c r="AJ29" s="233" t="n"/>
      <c r="AK29" s="233" t="n"/>
      <c r="AL29" s="233" t="n"/>
      <c r="AM29" s="233" t="n"/>
      <c r="AN29" s="233" t="n"/>
      <c r="AO29" s="233" t="n"/>
      <c r="AP29" s="233" t="n"/>
      <c r="AQ29" s="233" t="n"/>
      <c r="AR29" s="233" t="n"/>
    </row>
    <row r="30">
      <c r="A30" s="233" t="n"/>
      <c r="B30" s="233" t="n"/>
      <c r="C30" s="233" t="n"/>
      <c r="D30" s="233" t="n"/>
      <c r="E30" s="233" t="n"/>
      <c r="F30" s="233" t="n"/>
      <c r="G30" s="233" t="n"/>
      <c r="H30" s="233" t="n"/>
      <c r="I30" s="233" t="n"/>
      <c r="J30" s="233" t="n"/>
      <c r="K30" s="233" t="n"/>
      <c r="L30" s="233" t="n"/>
      <c r="M30" s="233" t="n"/>
      <c r="N30" s="233" t="n"/>
      <c r="O30" s="233" t="n"/>
      <c r="P30" s="233" t="n"/>
      <c r="Q30" s="233" t="n"/>
      <c r="R30" s="233" t="n"/>
      <c r="S30" s="233" t="n"/>
      <c r="T30" s="233" t="n"/>
      <c r="U30" s="233" t="n"/>
      <c r="V30" s="233" t="n"/>
      <c r="W30" s="233" t="n"/>
      <c r="X30" s="233" t="n"/>
      <c r="Y30" s="233" t="n"/>
      <c r="Z30" s="233" t="n"/>
      <c r="AA30" s="233" t="n"/>
      <c r="AB30" s="233" t="n"/>
      <c r="AC30" s="233" t="n"/>
      <c r="AD30" s="233" t="n"/>
      <c r="AE30" s="233" t="n"/>
      <c r="AF30" s="233" t="n"/>
      <c r="AG30" s="233" t="n"/>
      <c r="AH30" s="233" t="n"/>
      <c r="AI30" s="233" t="n"/>
      <c r="AJ30" s="233" t="n"/>
      <c r="AK30" s="233" t="n"/>
      <c r="AL30" s="233" t="n"/>
      <c r="AM30" s="233" t="n"/>
      <c r="AN30" s="233" t="n"/>
      <c r="AO30" s="233" t="n"/>
      <c r="AP30" s="233" t="n"/>
      <c r="AQ30" s="233" t="n"/>
      <c r="AR30" s="233" t="n"/>
    </row>
    <row r="31">
      <c r="A31" s="233" t="n"/>
      <c r="B31" s="233" t="n"/>
      <c r="C31" s="233" t="n"/>
      <c r="D31" s="233" t="n"/>
      <c r="E31" s="233" t="n"/>
      <c r="F31" s="233" t="n"/>
      <c r="G31" s="233" t="n"/>
      <c r="H31" s="233" t="n"/>
      <c r="I31" s="233" t="n"/>
      <c r="J31" s="233" t="n"/>
      <c r="K31" s="233" t="n"/>
      <c r="L31" s="233" t="n"/>
      <c r="M31" s="233" t="n"/>
      <c r="N31" s="233" t="n"/>
      <c r="O31" s="233" t="n"/>
      <c r="P31" s="233" t="n"/>
      <c r="Q31" s="233" t="n"/>
      <c r="R31" s="233" t="n"/>
      <c r="S31" s="233" t="n"/>
      <c r="T31" s="233" t="n"/>
      <c r="U31" s="233" t="n"/>
      <c r="V31" s="233" t="n"/>
      <c r="W31" s="233" t="n"/>
      <c r="X31" s="233" t="n"/>
      <c r="Y31" s="233" t="n"/>
      <c r="Z31" s="233" t="n"/>
      <c r="AA31" s="233" t="n"/>
      <c r="AB31" s="233" t="n"/>
      <c r="AC31" s="233" t="n"/>
      <c r="AD31" s="233" t="n"/>
      <c r="AE31" s="233" t="n"/>
      <c r="AF31" s="233" t="n"/>
      <c r="AG31" s="233" t="n"/>
      <c r="AH31" s="233" t="n"/>
      <c r="AI31" s="233" t="n"/>
      <c r="AJ31" s="233" t="n"/>
      <c r="AK31" s="233" t="n"/>
      <c r="AL31" s="233" t="n"/>
      <c r="AM31" s="233" t="n"/>
      <c r="AN31" s="233" t="n"/>
      <c r="AO31" s="233" t="n"/>
      <c r="AP31" s="233" t="n"/>
      <c r="AQ31" s="233" t="n"/>
      <c r="AR31" s="233" t="n"/>
    </row>
    <row r="32">
      <c r="A32" s="233" t="n"/>
      <c r="B32" s="233" t="n"/>
      <c r="C32" s="233" t="n"/>
      <c r="D32" s="233" t="n"/>
      <c r="E32" s="233" t="n"/>
      <c r="F32" s="233" t="n"/>
      <c r="G32" s="233" t="n"/>
      <c r="H32" s="233" t="n"/>
      <c r="I32" s="233" t="n"/>
      <c r="J32" s="233" t="n"/>
      <c r="K32" s="233" t="n"/>
      <c r="L32" s="233" t="n"/>
      <c r="M32" s="233" t="n"/>
      <c r="N32" s="233" t="n"/>
      <c r="O32" s="233" t="n"/>
      <c r="P32" s="233" t="n"/>
      <c r="Q32" s="233" t="n"/>
      <c r="R32" s="233" t="n"/>
      <c r="S32" s="233" t="n"/>
      <c r="T32" s="233" t="n"/>
      <c r="U32" s="233" t="n"/>
      <c r="V32" s="233" t="n"/>
      <c r="W32" s="233" t="n"/>
      <c r="X32" s="233" t="n"/>
      <c r="Y32" s="233" t="n"/>
      <c r="Z32" s="233" t="n"/>
      <c r="AA32" s="233" t="n"/>
      <c r="AB32" s="233" t="n"/>
      <c r="AC32" s="233" t="n"/>
      <c r="AD32" s="233" t="n"/>
      <c r="AE32" s="233" t="n"/>
      <c r="AF32" s="233" t="n"/>
      <c r="AG32" s="233" t="n"/>
      <c r="AH32" s="233" t="n"/>
      <c r="AI32" s="233" t="n"/>
      <c r="AJ32" s="233" t="n"/>
      <c r="AK32" s="233" t="n"/>
      <c r="AL32" s="233" t="n"/>
      <c r="AM32" s="233" t="n"/>
      <c r="AN32" s="233" t="n"/>
      <c r="AO32" s="233" t="n"/>
      <c r="AP32" s="233" t="n"/>
      <c r="AQ32" s="233" t="n"/>
      <c r="AR32" s="233" t="n"/>
    </row>
    <row r="33">
      <c r="A33" s="233" t="n"/>
      <c r="B33" s="233" t="n"/>
      <c r="C33" s="233" t="n"/>
      <c r="D33" s="233" t="n"/>
      <c r="E33" s="233" t="n"/>
      <c r="F33" s="233" t="n"/>
      <c r="G33" s="233" t="n"/>
      <c r="H33" s="233" t="n"/>
      <c r="I33" s="233" t="n"/>
      <c r="J33" s="233" t="n"/>
      <c r="K33" s="233" t="n"/>
      <c r="L33" s="233" t="n"/>
      <c r="M33" s="233" t="n"/>
      <c r="N33" s="233" t="n"/>
      <c r="O33" s="233" t="n"/>
      <c r="P33" s="233" t="n"/>
      <c r="Q33" s="233" t="n"/>
      <c r="R33" s="233" t="n"/>
      <c r="S33" s="233" t="n"/>
      <c r="T33" s="233" t="n"/>
      <c r="U33" s="233" t="n"/>
      <c r="V33" s="233" t="n"/>
      <c r="W33" s="233" t="n"/>
      <c r="X33" s="233" t="n"/>
      <c r="Y33" s="233" t="n"/>
      <c r="Z33" s="233" t="n"/>
      <c r="AA33" s="233" t="n"/>
      <c r="AB33" s="233" t="n"/>
      <c r="AC33" s="233" t="n"/>
      <c r="AD33" s="233" t="n"/>
      <c r="AE33" s="233" t="n"/>
      <c r="AF33" s="233" t="n"/>
      <c r="AG33" s="233" t="n"/>
      <c r="AH33" s="233" t="n"/>
      <c r="AI33" s="233" t="n"/>
      <c r="AJ33" s="233" t="n"/>
      <c r="AK33" s="233" t="n"/>
      <c r="AL33" s="233" t="n"/>
      <c r="AM33" s="233" t="n"/>
      <c r="AN33" s="233" t="n"/>
      <c r="AO33" s="233" t="n"/>
      <c r="AP33" s="233" t="n"/>
      <c r="AQ33" s="233" t="n"/>
      <c r="AR33" s="233" t="n"/>
    </row>
    <row r="34">
      <c r="A34" s="233" t="n"/>
      <c r="B34" s="233" t="n"/>
      <c r="C34" s="233" t="n"/>
      <c r="D34" s="233" t="n"/>
      <c r="E34" s="233" t="n"/>
      <c r="F34" s="233" t="n"/>
      <c r="G34" s="233" t="n"/>
      <c r="H34" s="233" t="n"/>
      <c r="I34" s="233" t="n"/>
      <c r="J34" s="233" t="n"/>
      <c r="K34" s="233" t="n"/>
      <c r="L34" s="233" t="n"/>
      <c r="M34" s="233" t="n"/>
      <c r="N34" s="233" t="n"/>
      <c r="O34" s="233" t="n"/>
      <c r="P34" s="233" t="n"/>
      <c r="Q34" s="233" t="n"/>
      <c r="R34" s="233" t="n"/>
      <c r="S34" s="233" t="n"/>
      <c r="T34" s="233" t="n"/>
      <c r="U34" s="233" t="n"/>
      <c r="V34" s="233" t="n"/>
      <c r="W34" s="233" t="n"/>
      <c r="X34" s="233" t="n"/>
      <c r="Y34" s="233" t="n"/>
      <c r="Z34" s="233" t="n"/>
      <c r="AA34" s="233" t="n"/>
      <c r="AB34" s="233" t="n"/>
      <c r="AC34" s="233" t="n"/>
      <c r="AD34" s="233" t="n"/>
      <c r="AE34" s="233" t="n"/>
      <c r="AF34" s="233" t="n"/>
      <c r="AG34" s="233" t="n"/>
      <c r="AH34" s="233" t="n"/>
      <c r="AI34" s="233" t="n"/>
      <c r="AJ34" s="233" t="n"/>
      <c r="AK34" s="233" t="n"/>
      <c r="AL34" s="233" t="n"/>
      <c r="AM34" s="233" t="n"/>
      <c r="AN34" s="233" t="n"/>
      <c r="AO34" s="233" t="n"/>
      <c r="AP34" s="233" t="n"/>
      <c r="AQ34" s="233" t="n"/>
      <c r="AR34" s="233" t="n"/>
    </row>
    <row r="35">
      <c r="A35" s="233" t="n"/>
      <c r="B35" s="233" t="n"/>
      <c r="C35" s="233" t="n"/>
      <c r="D35" s="233" t="n"/>
      <c r="E35" s="233" t="n"/>
      <c r="F35" s="233" t="n"/>
      <c r="G35" s="233" t="n"/>
      <c r="H35" s="233" t="n"/>
      <c r="I35" s="233" t="n"/>
      <c r="J35" s="233" t="n"/>
      <c r="K35" s="233" t="n"/>
      <c r="L35" s="233" t="n"/>
      <c r="M35" s="233" t="n"/>
      <c r="N35" s="233" t="n"/>
      <c r="O35" s="233" t="n"/>
      <c r="P35" s="233" t="n"/>
      <c r="Q35" s="233" t="n"/>
      <c r="R35" s="233" t="n"/>
      <c r="S35" s="233" t="n"/>
      <c r="T35" s="233" t="n"/>
      <c r="U35" s="233" t="n"/>
      <c r="V35" s="233" t="n"/>
      <c r="W35" s="233" t="n"/>
      <c r="X35" s="233" t="n"/>
      <c r="Y35" s="233" t="n"/>
      <c r="Z35" s="233" t="n"/>
      <c r="AA35" s="233" t="n"/>
      <c r="AB35" s="233" t="n"/>
      <c r="AC35" s="233" t="n"/>
      <c r="AD35" s="233" t="n"/>
      <c r="AE35" s="233" t="n"/>
      <c r="AF35" s="233" t="n"/>
      <c r="AG35" s="233" t="n"/>
      <c r="AH35" s="233" t="n"/>
      <c r="AI35" s="233" t="n"/>
      <c r="AJ35" s="233" t="n"/>
      <c r="AK35" s="233" t="n"/>
      <c r="AL35" s="233" t="n"/>
      <c r="AM35" s="233" t="n"/>
      <c r="AN35" s="233" t="n"/>
      <c r="AO35" s="233" t="n"/>
      <c r="AP35" s="233" t="n"/>
      <c r="AQ35" s="233" t="n"/>
      <c r="AR35" s="233" t="n"/>
    </row>
    <row r="36">
      <c r="A36" s="233" t="n"/>
      <c r="B36" s="233" t="n"/>
      <c r="C36" s="233" t="n"/>
      <c r="D36" s="233" t="n"/>
      <c r="E36" s="233" t="n"/>
      <c r="F36" s="233" t="n"/>
      <c r="G36" s="233" t="n"/>
      <c r="H36" s="233" t="n"/>
      <c r="I36" s="233" t="n"/>
      <c r="J36" s="233" t="n"/>
      <c r="K36" s="233" t="n"/>
      <c r="L36" s="233" t="n"/>
      <c r="M36" s="233" t="n"/>
      <c r="N36" s="233" t="n"/>
      <c r="O36" s="233" t="n"/>
      <c r="P36" s="233" t="n"/>
      <c r="Q36" s="233" t="n"/>
      <c r="R36" s="233" t="n"/>
      <c r="S36" s="233" t="n"/>
      <c r="T36" s="233" t="n"/>
      <c r="U36" s="233" t="n"/>
      <c r="V36" s="233" t="n"/>
      <c r="W36" s="233" t="n"/>
      <c r="X36" s="233" t="n"/>
      <c r="Y36" s="233" t="n"/>
      <c r="Z36" s="233" t="n"/>
      <c r="AA36" s="233" t="n"/>
      <c r="AB36" s="233" t="n"/>
      <c r="AC36" s="233" t="n"/>
      <c r="AD36" s="233" t="n"/>
      <c r="AE36" s="233" t="n"/>
      <c r="AF36" s="233" t="n"/>
      <c r="AG36" s="233" t="n"/>
      <c r="AH36" s="233" t="n"/>
      <c r="AI36" s="233" t="n"/>
      <c r="AJ36" s="233" t="n"/>
      <c r="AK36" s="233" t="n"/>
      <c r="AL36" s="233" t="n"/>
      <c r="AM36" s="233" t="n"/>
      <c r="AN36" s="233" t="n"/>
      <c r="AO36" s="233" t="n"/>
      <c r="AP36" s="233" t="n"/>
      <c r="AQ36" s="233" t="n"/>
      <c r="AR36" s="233" t="n"/>
    </row>
    <row r="37">
      <c r="A37" s="233" t="n"/>
      <c r="B37" s="233" t="n"/>
      <c r="C37" s="233" t="n"/>
      <c r="D37" s="233" t="n"/>
      <c r="E37" s="233" t="n"/>
      <c r="F37" s="233" t="n"/>
      <c r="G37" s="233" t="n"/>
      <c r="H37" s="233" t="n"/>
      <c r="I37" s="233" t="n"/>
      <c r="J37" s="233" t="n"/>
      <c r="K37" s="233" t="n"/>
      <c r="L37" s="233" t="n"/>
      <c r="M37" s="233" t="n"/>
      <c r="N37" s="233" t="n"/>
      <c r="O37" s="233" t="n"/>
      <c r="P37" s="233" t="n"/>
      <c r="Q37" s="233" t="n"/>
      <c r="R37" s="233" t="n"/>
      <c r="S37" s="233" t="n"/>
      <c r="T37" s="233" t="n"/>
      <c r="U37" s="233" t="n"/>
      <c r="V37" s="233" t="n"/>
      <c r="W37" s="233" t="n"/>
      <c r="X37" s="233" t="n"/>
      <c r="Y37" s="233" t="n"/>
      <c r="Z37" s="233" t="n"/>
      <c r="AA37" s="233" t="n"/>
      <c r="AB37" s="233" t="n"/>
      <c r="AC37" s="233" t="n"/>
      <c r="AD37" s="233" t="n"/>
      <c r="AE37" s="233" t="n"/>
      <c r="AF37" s="233" t="n"/>
      <c r="AG37" s="233" t="n"/>
      <c r="AH37" s="233" t="n"/>
      <c r="AI37" s="233" t="n"/>
      <c r="AJ37" s="233" t="n"/>
      <c r="AK37" s="233" t="n"/>
      <c r="AL37" s="233" t="n"/>
      <c r="AM37" s="233" t="n"/>
      <c r="AN37" s="233" t="n"/>
      <c r="AO37" s="233" t="n"/>
      <c r="AP37" s="233" t="n"/>
      <c r="AQ37" s="233" t="n"/>
      <c r="AR37" s="233" t="n"/>
    </row>
    <row r="38">
      <c r="A38" s="233" t="n"/>
      <c r="B38" s="233" t="n"/>
      <c r="C38" s="233" t="n"/>
      <c r="D38" s="233" t="n"/>
      <c r="E38" s="233" t="n"/>
      <c r="F38" s="233" t="n"/>
      <c r="G38" s="233" t="n"/>
      <c r="H38" s="233" t="n"/>
      <c r="I38" s="233" t="n"/>
      <c r="J38" s="233" t="n"/>
      <c r="K38" s="233" t="n"/>
      <c r="L38" s="233" t="n"/>
      <c r="M38" s="233" t="n"/>
      <c r="N38" s="233" t="n"/>
      <c r="O38" s="233" t="n"/>
      <c r="P38" s="233" t="n"/>
      <c r="Q38" s="233" t="n"/>
      <c r="R38" s="233" t="n"/>
      <c r="S38" s="233" t="n"/>
      <c r="T38" s="233" t="n"/>
      <c r="U38" s="233" t="n"/>
      <c r="V38" s="233" t="n"/>
      <c r="W38" s="233" t="n"/>
      <c r="X38" s="233" t="n"/>
      <c r="Y38" s="233" t="n"/>
      <c r="Z38" s="233" t="n"/>
      <c r="AA38" s="233" t="n"/>
      <c r="AB38" s="233" t="n"/>
      <c r="AC38" s="233" t="n"/>
      <c r="AD38" s="233" t="n"/>
      <c r="AE38" s="233" t="n"/>
      <c r="AF38" s="233" t="n"/>
      <c r="AG38" s="233" t="n"/>
      <c r="AH38" s="233" t="n"/>
      <c r="AI38" s="233" t="n"/>
      <c r="AJ38" s="233" t="n"/>
      <c r="AK38" s="233" t="n"/>
      <c r="AL38" s="233" t="n"/>
      <c r="AM38" s="233" t="n"/>
      <c r="AN38" s="233" t="n"/>
      <c r="AO38" s="233" t="n"/>
      <c r="AP38" s="233" t="n"/>
      <c r="AQ38" s="233" t="n"/>
      <c r="AR38" s="233" t="n"/>
    </row>
    <row r="39">
      <c r="A39" s="233" t="n"/>
      <c r="B39" s="233" t="n"/>
      <c r="C39" s="233" t="n"/>
      <c r="D39" s="233" t="n"/>
      <c r="E39" s="233" t="n"/>
      <c r="F39" s="233" t="n"/>
      <c r="G39" s="233" t="n"/>
      <c r="H39" s="233" t="n"/>
      <c r="I39" s="233" t="n"/>
      <c r="J39" s="233" t="n"/>
      <c r="K39" s="233" t="n"/>
      <c r="L39" s="233" t="n"/>
      <c r="M39" s="233" t="n"/>
      <c r="N39" s="233" t="n"/>
      <c r="O39" s="233" t="n"/>
      <c r="P39" s="233" t="n"/>
      <c r="Q39" s="233" t="n"/>
      <c r="R39" s="233" t="n"/>
      <c r="S39" s="233" t="n"/>
      <c r="T39" s="233" t="n"/>
      <c r="U39" s="233" t="n"/>
      <c r="V39" s="233" t="n"/>
      <c r="W39" s="233" t="n"/>
      <c r="X39" s="233" t="n"/>
      <c r="Y39" s="233" t="n"/>
      <c r="Z39" s="233" t="n"/>
      <c r="AA39" s="233" t="n"/>
      <c r="AB39" s="233" t="n"/>
      <c r="AC39" s="233" t="n"/>
      <c r="AD39" s="233" t="n"/>
      <c r="AE39" s="233" t="n"/>
      <c r="AF39" s="233" t="n"/>
      <c r="AG39" s="233" t="n"/>
      <c r="AH39" s="233" t="n"/>
      <c r="AI39" s="233" t="n"/>
      <c r="AJ39" s="233" t="n"/>
      <c r="AK39" s="233" t="n"/>
      <c r="AL39" s="233" t="n"/>
      <c r="AM39" s="233" t="n"/>
      <c r="AN39" s="233" t="n"/>
      <c r="AO39" s="233" t="n"/>
      <c r="AP39" s="233" t="n"/>
      <c r="AQ39" s="233" t="n"/>
      <c r="AR39" s="233" t="n"/>
    </row>
    <row r="40">
      <c r="A40" s="233" t="n"/>
      <c r="B40" s="233" t="n"/>
      <c r="C40" s="233" t="n"/>
      <c r="D40" s="233" t="n"/>
      <c r="E40" s="233" t="n"/>
      <c r="F40" s="233" t="n"/>
      <c r="G40" s="233" t="n"/>
      <c r="H40" s="233" t="n"/>
      <c r="I40" s="233" t="n"/>
      <c r="J40" s="233" t="n"/>
      <c r="K40" s="233" t="n"/>
      <c r="L40" s="233" t="n"/>
      <c r="M40" s="233" t="n"/>
      <c r="N40" s="233" t="n"/>
      <c r="O40" s="233" t="n"/>
      <c r="P40" s="233" t="n"/>
      <c r="Q40" s="233" t="n"/>
      <c r="R40" s="233" t="n"/>
      <c r="S40" s="233" t="n"/>
      <c r="T40" s="233" t="n"/>
      <c r="U40" s="233" t="n"/>
      <c r="V40" s="233" t="n"/>
      <c r="W40" s="233" t="n"/>
      <c r="X40" s="233" t="n"/>
      <c r="Y40" s="233" t="n"/>
      <c r="Z40" s="233" t="n"/>
      <c r="AA40" s="233" t="n"/>
      <c r="AB40" s="233" t="n"/>
      <c r="AC40" s="233" t="n"/>
      <c r="AD40" s="233" t="n"/>
      <c r="AE40" s="233" t="n"/>
      <c r="AF40" s="233" t="n"/>
      <c r="AG40" s="233" t="n"/>
      <c r="AH40" s="233" t="n"/>
      <c r="AI40" s="233" t="n"/>
      <c r="AJ40" s="233" t="n"/>
      <c r="AK40" s="233" t="n"/>
      <c r="AL40" s="233" t="n"/>
      <c r="AM40" s="233" t="n"/>
      <c r="AN40" s="233" t="n"/>
      <c r="AO40" s="233" t="n"/>
      <c r="AP40" s="233" t="n"/>
      <c r="AQ40" s="233" t="n"/>
      <c r="AR40" s="233" t="n"/>
    </row>
    <row r="41">
      <c r="A41" s="233" t="n"/>
      <c r="B41" s="233" t="n"/>
      <c r="C41" s="233" t="n"/>
      <c r="D41" s="233" t="n"/>
      <c r="E41" s="233" t="n"/>
      <c r="F41" s="233" t="n"/>
      <c r="G41" s="233" t="n"/>
      <c r="H41" s="233" t="n"/>
      <c r="I41" s="233" t="n"/>
      <c r="J41" s="233" t="n"/>
      <c r="K41" s="233" t="n"/>
      <c r="L41" s="233" t="n"/>
      <c r="M41" s="233" t="n"/>
      <c r="N41" s="233" t="n"/>
      <c r="O41" s="233" t="n"/>
      <c r="P41" s="233" t="n"/>
      <c r="Q41" s="233" t="n"/>
      <c r="R41" s="233" t="n"/>
      <c r="S41" s="233" t="n"/>
      <c r="T41" s="233" t="n"/>
      <c r="U41" s="233" t="n"/>
      <c r="V41" s="233" t="n"/>
      <c r="W41" s="233" t="n"/>
      <c r="X41" s="233" t="n"/>
      <c r="Y41" s="233" t="n"/>
      <c r="Z41" s="233" t="n"/>
      <c r="AA41" s="233" t="n"/>
      <c r="AB41" s="233" t="n"/>
      <c r="AC41" s="233" t="n"/>
      <c r="AD41" s="233" t="n"/>
      <c r="AE41" s="233" t="n"/>
      <c r="AF41" s="233" t="n"/>
      <c r="AG41" s="233" t="n"/>
      <c r="AH41" s="233" t="n"/>
      <c r="AI41" s="233" t="n"/>
      <c r="AJ41" s="233" t="n"/>
      <c r="AK41" s="233" t="n"/>
      <c r="AL41" s="233" t="n"/>
      <c r="AM41" s="233" t="n"/>
      <c r="AN41" s="233" t="n"/>
      <c r="AO41" s="233" t="n"/>
      <c r="AP41" s="233" t="n"/>
      <c r="AQ41" s="233" t="n"/>
      <c r="AR41" s="233" t="n"/>
    </row>
    <row r="42">
      <c r="A42" s="233" t="n"/>
      <c r="B42" s="233" t="n"/>
      <c r="C42" s="233" t="n"/>
      <c r="D42" s="233" t="n"/>
      <c r="E42" s="233" t="n"/>
      <c r="F42" s="233" t="n"/>
      <c r="G42" s="233" t="n"/>
      <c r="H42" s="233" t="n"/>
      <c r="I42" s="233" t="n"/>
      <c r="J42" s="233" t="n"/>
      <c r="K42" s="233" t="n"/>
      <c r="L42" s="233" t="n"/>
      <c r="M42" s="233" t="n"/>
      <c r="N42" s="233" t="n"/>
      <c r="O42" s="233" t="n"/>
      <c r="P42" s="233" t="n"/>
      <c r="Q42" s="233" t="n"/>
      <c r="R42" s="233" t="n"/>
      <c r="S42" s="233" t="n"/>
      <c r="T42" s="233" t="n"/>
      <c r="U42" s="233" t="n"/>
      <c r="V42" s="233" t="n"/>
      <c r="W42" s="233" t="n"/>
      <c r="X42" s="233" t="n"/>
      <c r="Y42" s="233" t="n"/>
      <c r="Z42" s="233" t="n"/>
      <c r="AA42" s="233" t="n"/>
      <c r="AB42" s="233" t="n"/>
      <c r="AC42" s="233" t="n"/>
      <c r="AD42" s="233" t="n"/>
      <c r="AE42" s="233" t="n"/>
      <c r="AF42" s="233" t="n"/>
      <c r="AG42" s="233" t="n"/>
      <c r="AH42" s="233" t="n"/>
      <c r="AI42" s="233" t="n"/>
      <c r="AJ42" s="233" t="n"/>
      <c r="AK42" s="233" t="n"/>
      <c r="AL42" s="233" t="n"/>
      <c r="AM42" s="233" t="n"/>
      <c r="AN42" s="233" t="n"/>
      <c r="AO42" s="233" t="n"/>
      <c r="AP42" s="233" t="n"/>
      <c r="AQ42" s="233" t="n"/>
      <c r="AR42" s="233" t="n"/>
    </row>
    <row r="43">
      <c r="A43" s="233" t="n"/>
      <c r="B43" s="233" t="n"/>
      <c r="C43" s="233" t="n"/>
      <c r="D43" s="233" t="n"/>
      <c r="E43" s="233" t="n"/>
      <c r="F43" s="233" t="n"/>
      <c r="G43" s="233" t="n"/>
      <c r="H43" s="233" t="n"/>
      <c r="I43" s="233" t="n"/>
      <c r="J43" s="233" t="n"/>
      <c r="K43" s="233" t="n"/>
      <c r="L43" s="233" t="n"/>
      <c r="M43" s="233" t="n"/>
      <c r="N43" s="233" t="n"/>
      <c r="O43" s="233" t="n"/>
      <c r="P43" s="233" t="n"/>
      <c r="Q43" s="233" t="n"/>
      <c r="R43" s="233" t="n"/>
      <c r="S43" s="233" t="n"/>
      <c r="T43" s="233" t="n"/>
      <c r="U43" s="233" t="n"/>
      <c r="V43" s="233" t="n"/>
      <c r="W43" s="233" t="n"/>
      <c r="X43" s="233" t="n"/>
      <c r="Y43" s="233" t="n"/>
      <c r="Z43" s="233" t="n"/>
      <c r="AA43" s="233" t="n"/>
      <c r="AB43" s="233" t="n"/>
      <c r="AC43" s="233" t="n"/>
      <c r="AD43" s="233" t="n"/>
      <c r="AE43" s="233" t="n"/>
      <c r="AF43" s="233" t="n"/>
      <c r="AG43" s="233" t="n"/>
      <c r="AH43" s="233" t="n"/>
      <c r="AI43" s="233" t="n"/>
      <c r="AJ43" s="233" t="n"/>
      <c r="AK43" s="233" t="n"/>
      <c r="AL43" s="233" t="n"/>
      <c r="AM43" s="233" t="n"/>
      <c r="AN43" s="233" t="n"/>
      <c r="AO43" s="233" t="n"/>
      <c r="AP43" s="233" t="n"/>
      <c r="AQ43" s="233" t="n"/>
      <c r="AR43" s="233" t="n"/>
    </row>
    <row r="44">
      <c r="A44" s="233" t="n"/>
      <c r="B44" s="233" t="n"/>
      <c r="C44" s="233" t="n"/>
      <c r="D44" s="233" t="n"/>
      <c r="E44" s="233" t="n"/>
      <c r="F44" s="233" t="n"/>
      <c r="G44" s="233" t="n"/>
      <c r="H44" s="233" t="n"/>
      <c r="I44" s="233" t="n"/>
      <c r="J44" s="233" t="n"/>
      <c r="K44" s="233" t="n"/>
      <c r="L44" s="233" t="n"/>
      <c r="M44" s="233" t="n"/>
      <c r="N44" s="233" t="n"/>
      <c r="O44" s="233" t="n"/>
      <c r="P44" s="233" t="n"/>
      <c r="Q44" s="233" t="n"/>
      <c r="R44" s="233" t="n"/>
      <c r="S44" s="233" t="n"/>
      <c r="T44" s="233" t="n"/>
      <c r="U44" s="233" t="n"/>
      <c r="V44" s="233" t="n"/>
      <c r="W44" s="233" t="n"/>
      <c r="X44" s="233" t="n"/>
      <c r="Y44" s="233" t="n"/>
      <c r="Z44" s="233" t="n"/>
      <c r="AA44" s="233" t="n"/>
      <c r="AB44" s="233" t="n"/>
      <c r="AC44" s="233" t="n"/>
      <c r="AD44" s="233" t="n"/>
      <c r="AE44" s="233" t="n"/>
      <c r="AF44" s="233" t="n"/>
      <c r="AG44" s="233" t="n"/>
      <c r="AH44" s="233" t="n"/>
      <c r="AI44" s="233" t="n"/>
      <c r="AJ44" s="233" t="n"/>
      <c r="AK44" s="233" t="n"/>
      <c r="AL44" s="233" t="n"/>
      <c r="AM44" s="233" t="n"/>
      <c r="AN44" s="233" t="n"/>
      <c r="AO44" s="233" t="n"/>
      <c r="AP44" s="233" t="n"/>
      <c r="AQ44" s="233" t="n"/>
      <c r="AR44" s="233" t="n"/>
    </row>
    <row r="45">
      <c r="A45" s="233" t="n"/>
      <c r="B45" s="233" t="n"/>
      <c r="C45" s="233" t="n"/>
      <c r="D45" s="233" t="n"/>
      <c r="E45" s="233" t="n"/>
      <c r="F45" s="233" t="n"/>
      <c r="G45" s="233" t="n"/>
      <c r="H45" s="233" t="n"/>
      <c r="I45" s="233" t="n"/>
      <c r="J45" s="233" t="n"/>
      <c r="K45" s="233" t="n"/>
      <c r="L45" s="233" t="n"/>
      <c r="M45" s="233" t="n"/>
      <c r="N45" s="233" t="n"/>
      <c r="O45" s="233" t="n"/>
      <c r="P45" s="233" t="n"/>
      <c r="Q45" s="233" t="n"/>
      <c r="R45" s="233" t="n"/>
      <c r="S45" s="233" t="n"/>
      <c r="T45" s="233" t="n"/>
      <c r="U45" s="233" t="n"/>
      <c r="V45" s="233" t="n"/>
      <c r="W45" s="233" t="n"/>
      <c r="X45" s="233" t="n"/>
      <c r="Y45" s="233" t="n"/>
      <c r="Z45" s="233" t="n"/>
      <c r="AA45" s="233" t="n"/>
      <c r="AB45" s="233" t="n"/>
      <c r="AC45" s="233" t="n"/>
      <c r="AD45" s="233" t="n"/>
      <c r="AE45" s="233" t="n"/>
      <c r="AF45" s="233" t="n"/>
      <c r="AG45" s="233" t="n"/>
      <c r="AH45" s="233" t="n"/>
      <c r="AI45" s="233" t="n"/>
      <c r="AJ45" s="233" t="n"/>
      <c r="AK45" s="233" t="n"/>
      <c r="AL45" s="233" t="n"/>
      <c r="AM45" s="233" t="n"/>
      <c r="AN45" s="233" t="n"/>
      <c r="AO45" s="233" t="n"/>
      <c r="AP45" s="233" t="n"/>
      <c r="AQ45" s="233" t="n"/>
      <c r="AR45" s="233" t="n"/>
    </row>
    <row r="46">
      <c r="A46" s="233" t="n"/>
      <c r="B46" s="233" t="n"/>
      <c r="C46" s="233" t="n"/>
      <c r="D46" s="233" t="n"/>
      <c r="E46" s="233" t="n"/>
      <c r="F46" s="233" t="n"/>
      <c r="G46" s="233" t="n"/>
      <c r="H46" s="233" t="n"/>
      <c r="I46" s="233" t="n"/>
      <c r="J46" s="233" t="n"/>
      <c r="K46" s="233" t="n"/>
      <c r="L46" s="233" t="n"/>
      <c r="M46" s="233" t="n"/>
      <c r="N46" s="233" t="n"/>
      <c r="O46" s="233" t="n"/>
      <c r="P46" s="233" t="n"/>
      <c r="Q46" s="233" t="n"/>
      <c r="R46" s="233" t="n"/>
      <c r="S46" s="233" t="n"/>
      <c r="T46" s="233" t="n"/>
      <c r="U46" s="233" t="n"/>
      <c r="V46" s="233" t="n"/>
      <c r="W46" s="233" t="n"/>
      <c r="X46" s="233" t="n"/>
      <c r="Y46" s="233" t="n"/>
      <c r="Z46" s="233" t="n"/>
      <c r="AA46" s="233" t="n"/>
      <c r="AB46" s="233" t="n"/>
      <c r="AC46" s="233" t="n"/>
      <c r="AD46" s="233" t="n"/>
      <c r="AE46" s="233" t="n"/>
      <c r="AF46" s="233" t="n"/>
      <c r="AG46" s="233" t="n"/>
      <c r="AH46" s="233" t="n"/>
      <c r="AI46" s="233" t="n"/>
      <c r="AJ46" s="233" t="n"/>
      <c r="AK46" s="233" t="n"/>
      <c r="AL46" s="233" t="n"/>
      <c r="AM46" s="233" t="n"/>
      <c r="AN46" s="233" t="n"/>
      <c r="AO46" s="233" t="n"/>
      <c r="AP46" s="233" t="n"/>
      <c r="AQ46" s="233" t="n"/>
      <c r="AR46" s="233" t="n"/>
    </row>
    <row r="47">
      <c r="A47" s="233" t="n"/>
      <c r="B47" s="233" t="n"/>
      <c r="C47" s="233" t="n"/>
      <c r="D47" s="233" t="n"/>
      <c r="E47" s="233" t="n"/>
      <c r="F47" s="233" t="n"/>
      <c r="G47" s="233" t="n"/>
      <c r="H47" s="233" t="n"/>
      <c r="I47" s="233" t="n"/>
      <c r="J47" s="233" t="n"/>
      <c r="K47" s="233" t="n"/>
      <c r="L47" s="233" t="n"/>
      <c r="M47" s="233" t="n"/>
      <c r="N47" s="233" t="n"/>
      <c r="O47" s="233" t="n"/>
      <c r="P47" s="233" t="n"/>
      <c r="Q47" s="233" t="n"/>
      <c r="R47" s="233" t="n"/>
      <c r="S47" s="233" t="n"/>
      <c r="T47" s="233" t="n"/>
      <c r="U47" s="233" t="n"/>
      <c r="V47" s="233" t="n"/>
      <c r="W47" s="233" t="n"/>
      <c r="X47" s="233" t="n"/>
      <c r="Y47" s="233" t="n"/>
      <c r="Z47" s="233" t="n"/>
      <c r="AA47" s="233" t="n"/>
      <c r="AB47" s="233" t="n"/>
      <c r="AC47" s="233" t="n"/>
      <c r="AD47" s="233" t="n"/>
      <c r="AE47" s="233" t="n"/>
      <c r="AF47" s="233" t="n"/>
      <c r="AG47" s="233" t="n"/>
      <c r="AH47" s="233" t="n"/>
      <c r="AI47" s="233" t="n"/>
      <c r="AJ47" s="233" t="n"/>
      <c r="AK47" s="233" t="n"/>
      <c r="AL47" s="233" t="n"/>
      <c r="AM47" s="233" t="n"/>
      <c r="AN47" s="233" t="n"/>
      <c r="AO47" s="233" t="n"/>
      <c r="AP47" s="233" t="n"/>
      <c r="AQ47" s="233" t="n"/>
      <c r="AR47" s="233" t="n"/>
    </row>
    <row r="48">
      <c r="A48" s="233" t="n"/>
      <c r="B48" s="233" t="n"/>
      <c r="C48" s="233" t="n"/>
      <c r="D48" s="233" t="n"/>
      <c r="E48" s="233" t="n"/>
      <c r="F48" s="233" t="n"/>
      <c r="G48" s="233" t="n"/>
      <c r="H48" s="233" t="n"/>
      <c r="I48" s="233" t="n"/>
      <c r="J48" s="233" t="n"/>
      <c r="K48" s="233" t="n"/>
      <c r="L48" s="233" t="n"/>
      <c r="M48" s="233" t="n"/>
      <c r="N48" s="233" t="n"/>
      <c r="O48" s="233" t="n"/>
      <c r="P48" s="233" t="n"/>
      <c r="Q48" s="233" t="n"/>
      <c r="R48" s="233" t="n"/>
      <c r="S48" s="233" t="n"/>
      <c r="T48" s="233" t="n"/>
      <c r="U48" s="233" t="n"/>
      <c r="V48" s="233" t="n"/>
      <c r="W48" s="233" t="n"/>
      <c r="X48" s="233" t="n"/>
      <c r="Y48" s="233" t="n"/>
      <c r="Z48" s="233" t="n"/>
      <c r="AA48" s="233" t="n"/>
      <c r="AB48" s="233" t="n"/>
      <c r="AC48" s="233" t="n"/>
      <c r="AD48" s="233" t="n"/>
      <c r="AE48" s="233" t="n"/>
      <c r="AF48" s="233" t="n"/>
      <c r="AG48" s="233" t="n"/>
      <c r="AH48" s="233" t="n"/>
      <c r="AI48" s="233" t="n"/>
      <c r="AJ48" s="233" t="n"/>
      <c r="AK48" s="233" t="n"/>
      <c r="AL48" s="233" t="n"/>
      <c r="AM48" s="233" t="n"/>
      <c r="AN48" s="233" t="n"/>
      <c r="AO48" s="233" t="n"/>
      <c r="AP48" s="233" t="n"/>
      <c r="AQ48" s="233" t="n"/>
      <c r="AR48" s="233" t="n"/>
    </row>
    <row r="49">
      <c r="A49" s="233" t="n"/>
      <c r="B49" s="233" t="n"/>
      <c r="C49" s="233" t="n"/>
      <c r="D49" s="233" t="n"/>
      <c r="E49" s="233" t="n"/>
      <c r="F49" s="233" t="n"/>
      <c r="G49" s="233" t="n"/>
      <c r="H49" s="233" t="n"/>
      <c r="I49" s="233" t="n"/>
      <c r="J49" s="233" t="n"/>
      <c r="K49" s="233" t="n"/>
      <c r="L49" s="233" t="n"/>
      <c r="M49" s="233" t="n"/>
      <c r="N49" s="233" t="n"/>
      <c r="O49" s="233" t="n"/>
      <c r="P49" s="233" t="n"/>
      <c r="Q49" s="233" t="n"/>
      <c r="R49" s="233" t="n"/>
      <c r="S49" s="233" t="n"/>
      <c r="T49" s="233" t="n"/>
      <c r="U49" s="233" t="n"/>
      <c r="V49" s="233" t="n"/>
      <c r="W49" s="233" t="n"/>
      <c r="X49" s="233" t="n"/>
      <c r="Y49" s="233" t="n"/>
      <c r="Z49" s="233" t="n"/>
      <c r="AA49" s="233" t="n"/>
      <c r="AB49" s="233" t="n"/>
      <c r="AC49" s="233" t="n"/>
      <c r="AD49" s="233" t="n"/>
      <c r="AE49" s="233" t="n"/>
      <c r="AF49" s="233" t="n"/>
      <c r="AG49" s="233" t="n"/>
      <c r="AH49" s="233" t="n"/>
      <c r="AI49" s="233" t="n"/>
      <c r="AJ49" s="233" t="n"/>
      <c r="AK49" s="233" t="n"/>
      <c r="AL49" s="233" t="n"/>
      <c r="AM49" s="233" t="n"/>
      <c r="AN49" s="233" t="n"/>
      <c r="AO49" s="233" t="n"/>
      <c r="AP49" s="233" t="n"/>
      <c r="AQ49" s="233" t="n"/>
      <c r="AR49" s="233" t="n"/>
    </row>
    <row r="50">
      <c r="A50" s="233" t="n"/>
      <c r="B50" s="233" t="n"/>
      <c r="C50" s="233" t="n"/>
      <c r="D50" s="233" t="n"/>
      <c r="E50" s="233" t="n"/>
      <c r="F50" s="233" t="n"/>
      <c r="G50" s="233" t="n"/>
      <c r="H50" s="233" t="n"/>
      <c r="I50" s="233" t="n"/>
      <c r="J50" s="233" t="n"/>
      <c r="K50" s="233" t="n"/>
      <c r="L50" s="233" t="n"/>
      <c r="M50" s="233" t="n"/>
      <c r="N50" s="233" t="n"/>
      <c r="O50" s="233" t="n"/>
      <c r="P50" s="233" t="n"/>
      <c r="Q50" s="233" t="n"/>
      <c r="R50" s="233" t="n"/>
      <c r="S50" s="233" t="n"/>
      <c r="T50" s="233" t="n"/>
      <c r="U50" s="233" t="n"/>
      <c r="V50" s="233" t="n"/>
      <c r="W50" s="233" t="n"/>
      <c r="X50" s="233" t="n"/>
      <c r="Y50" s="233" t="n"/>
      <c r="Z50" s="233" t="n"/>
      <c r="AA50" s="233" t="n"/>
      <c r="AB50" s="233" t="n"/>
      <c r="AC50" s="233" t="n"/>
      <c r="AD50" s="233" t="n"/>
      <c r="AE50" s="233" t="n"/>
      <c r="AF50" s="233" t="n"/>
      <c r="AG50" s="233" t="n"/>
      <c r="AH50" s="233" t="n"/>
      <c r="AI50" s="233" t="n"/>
      <c r="AJ50" s="233" t="n"/>
      <c r="AK50" s="233" t="n"/>
      <c r="AL50" s="233" t="n"/>
      <c r="AM50" s="233" t="n"/>
      <c r="AN50" s="233" t="n"/>
      <c r="AO50" s="233" t="n"/>
      <c r="AP50" s="233" t="n"/>
      <c r="AQ50" s="233" t="n"/>
      <c r="AR50" s="233" t="n"/>
    </row>
    <row r="51">
      <c r="A51" s="233" t="n"/>
      <c r="B51" s="233" t="n"/>
      <c r="C51" s="233" t="n"/>
      <c r="D51" s="233" t="n"/>
      <c r="E51" s="233" t="n"/>
      <c r="F51" s="233" t="n"/>
      <c r="G51" s="233" t="n"/>
      <c r="H51" s="233" t="n"/>
      <c r="I51" s="233" t="n"/>
      <c r="J51" s="233" t="n"/>
      <c r="K51" s="233" t="n"/>
      <c r="L51" s="233" t="n"/>
      <c r="M51" s="233" t="n"/>
      <c r="N51" s="233" t="n"/>
      <c r="O51" s="233" t="n"/>
      <c r="P51" s="233" t="n"/>
      <c r="Q51" s="233" t="n"/>
      <c r="R51" s="233" t="n"/>
      <c r="S51" s="233" t="n"/>
      <c r="T51" s="233" t="n"/>
      <c r="U51" s="233" t="n"/>
      <c r="V51" s="233" t="n"/>
      <c r="W51" s="233" t="n"/>
      <c r="X51" s="233" t="n"/>
      <c r="Y51" s="233" t="n"/>
      <c r="Z51" s="233" t="n"/>
      <c r="AA51" s="233" t="n"/>
      <c r="AB51" s="233" t="n"/>
      <c r="AC51" s="233" t="n"/>
      <c r="AD51" s="233" t="n"/>
      <c r="AE51" s="233" t="n"/>
      <c r="AF51" s="233" t="n"/>
      <c r="AG51" s="233" t="n"/>
      <c r="AH51" s="233" t="n"/>
      <c r="AI51" s="233" t="n"/>
      <c r="AJ51" s="233" t="n"/>
      <c r="AK51" s="233" t="n"/>
      <c r="AL51" s="233" t="n"/>
      <c r="AM51" s="233" t="n"/>
      <c r="AN51" s="233" t="n"/>
      <c r="AO51" s="233" t="n"/>
      <c r="AP51" s="233" t="n"/>
      <c r="AQ51" s="233" t="n"/>
      <c r="AR51" s="233" t="n"/>
    </row>
    <row r="52">
      <c r="A52" s="233" t="n"/>
      <c r="B52" s="233" t="n"/>
      <c r="C52" s="233" t="n"/>
      <c r="D52" s="233" t="n"/>
      <c r="E52" s="233" t="n"/>
      <c r="F52" s="233" t="n"/>
      <c r="G52" s="233" t="n"/>
      <c r="H52" s="233" t="n"/>
      <c r="I52" s="233" t="n"/>
      <c r="J52" s="233" t="n"/>
      <c r="K52" s="233" t="n"/>
      <c r="L52" s="233" t="n"/>
      <c r="M52" s="233" t="n"/>
      <c r="N52" s="233" t="n"/>
      <c r="O52" s="233" t="n"/>
      <c r="P52" s="233" t="n"/>
      <c r="Q52" s="233" t="n"/>
      <c r="R52" s="233" t="n"/>
      <c r="S52" s="233" t="n"/>
      <c r="T52" s="233" t="n"/>
      <c r="U52" s="233" t="n"/>
      <c r="V52" s="233" t="n"/>
      <c r="W52" s="233" t="n"/>
      <c r="X52" s="233" t="n"/>
      <c r="Y52" s="233" t="n"/>
      <c r="Z52" s="233" t="n"/>
      <c r="AA52" s="233" t="n"/>
      <c r="AB52" s="233" t="n"/>
      <c r="AC52" s="233" t="n"/>
      <c r="AD52" s="233" t="n"/>
      <c r="AE52" s="233" t="n"/>
      <c r="AF52" s="233" t="n"/>
      <c r="AG52" s="233" t="n"/>
      <c r="AH52" s="233" t="n"/>
      <c r="AI52" s="233" t="n"/>
      <c r="AJ52" s="233" t="n"/>
      <c r="AK52" s="233" t="n"/>
      <c r="AL52" s="233" t="n"/>
      <c r="AM52" s="233" t="n"/>
      <c r="AN52" s="233" t="n"/>
      <c r="AO52" s="233" t="n"/>
      <c r="AP52" s="233" t="n"/>
      <c r="AQ52" s="233" t="n"/>
      <c r="AR52" s="233" t="n"/>
    </row>
    <row r="53">
      <c r="A53" s="233" t="n"/>
      <c r="B53" s="233" t="n"/>
      <c r="C53" s="233" t="n"/>
      <c r="D53" s="233" t="n"/>
      <c r="E53" s="233" t="n"/>
      <c r="F53" s="233" t="n"/>
      <c r="G53" s="233" t="n"/>
      <c r="H53" s="233" t="n"/>
      <c r="I53" s="233" t="n"/>
      <c r="J53" s="233" t="n"/>
      <c r="K53" s="233" t="n"/>
      <c r="L53" s="233" t="n"/>
      <c r="M53" s="233" t="n"/>
      <c r="N53" s="233" t="n"/>
      <c r="O53" s="233" t="n"/>
      <c r="P53" s="233" t="n"/>
      <c r="Q53" s="233" t="n"/>
      <c r="R53" s="233" t="n"/>
      <c r="S53" s="233" t="n"/>
      <c r="T53" s="233" t="n"/>
      <c r="U53" s="233" t="n"/>
      <c r="V53" s="233" t="n"/>
      <c r="W53" s="233" t="n"/>
      <c r="X53" s="233" t="n"/>
      <c r="Y53" s="233" t="n"/>
      <c r="Z53" s="233" t="n"/>
      <c r="AA53" s="233" t="n"/>
      <c r="AB53" s="233" t="n"/>
      <c r="AC53" s="233" t="n"/>
      <c r="AD53" s="233" t="n"/>
      <c r="AE53" s="233" t="n"/>
      <c r="AF53" s="233" t="n"/>
      <c r="AG53" s="233" t="n"/>
      <c r="AH53" s="233" t="n"/>
      <c r="AI53" s="233" t="n"/>
      <c r="AJ53" s="233" t="n"/>
      <c r="AK53" s="233" t="n"/>
      <c r="AL53" s="233" t="n"/>
      <c r="AM53" s="233" t="n"/>
      <c r="AN53" s="233" t="n"/>
      <c r="AO53" s="233" t="n"/>
      <c r="AP53" s="233" t="n"/>
      <c r="AQ53" s="233" t="n"/>
      <c r="AR53" s="233" t="n"/>
    </row>
    <row r="54">
      <c r="A54" s="233" t="n"/>
      <c r="B54" s="233" t="n"/>
      <c r="C54" s="233" t="n"/>
      <c r="D54" s="233" t="n"/>
      <c r="E54" s="233" t="n"/>
      <c r="F54" s="233" t="n"/>
      <c r="G54" s="233" t="n"/>
      <c r="H54" s="233" t="n"/>
      <c r="I54" s="233" t="n"/>
      <c r="J54" s="233" t="n"/>
      <c r="K54" s="233" t="n"/>
      <c r="L54" s="233" t="n"/>
      <c r="M54" s="233" t="n"/>
      <c r="N54" s="233" t="n"/>
      <c r="O54" s="233" t="n"/>
      <c r="P54" s="233" t="n"/>
      <c r="Q54" s="233" t="n"/>
      <c r="R54" s="233" t="n"/>
      <c r="S54" s="233" t="n"/>
      <c r="T54" s="233" t="n"/>
      <c r="U54" s="233" t="n"/>
      <c r="V54" s="233" t="n"/>
      <c r="W54" s="233" t="n"/>
      <c r="X54" s="233" t="n"/>
      <c r="Y54" s="233" t="n"/>
      <c r="Z54" s="233" t="n"/>
      <c r="AA54" s="233" t="n"/>
      <c r="AB54" s="233" t="n"/>
      <c r="AC54" s="233" t="n"/>
      <c r="AD54" s="233" t="n"/>
      <c r="AE54" s="233" t="n"/>
      <c r="AF54" s="233" t="n"/>
      <c r="AG54" s="233" t="n"/>
      <c r="AH54" s="233" t="n"/>
      <c r="AI54" s="233" t="n"/>
      <c r="AJ54" s="233" t="n"/>
      <c r="AK54" s="233" t="n"/>
      <c r="AL54" s="233" t="n"/>
      <c r="AM54" s="233" t="n"/>
      <c r="AN54" s="233" t="n"/>
      <c r="AO54" s="233" t="n"/>
      <c r="AP54" s="233" t="n"/>
      <c r="AQ54" s="233" t="n"/>
      <c r="AR54" s="233" t="n"/>
    </row>
    <row r="55">
      <c r="A55" s="233" t="n"/>
      <c r="B55" s="233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233" t="n"/>
      <c r="O55" s="233" t="n"/>
      <c r="P55" s="233" t="n"/>
      <c r="Q55" s="233" t="n"/>
      <c r="R55" s="233" t="n"/>
      <c r="S55" s="233" t="n"/>
      <c r="T55" s="233" t="n"/>
      <c r="U55" s="233" t="n"/>
      <c r="V55" s="233" t="n"/>
      <c r="W55" s="233" t="n"/>
      <c r="X55" s="233" t="n"/>
      <c r="Y55" s="233" t="n"/>
      <c r="Z55" s="233" t="n"/>
      <c r="AA55" s="233" t="n"/>
      <c r="AB55" s="233" t="n"/>
      <c r="AC55" s="233" t="n"/>
      <c r="AD55" s="233" t="n"/>
      <c r="AE55" s="233" t="n"/>
      <c r="AF55" s="233" t="n"/>
      <c r="AG55" s="233" t="n"/>
      <c r="AH55" s="233" t="n"/>
      <c r="AI55" s="233" t="n"/>
      <c r="AJ55" s="233" t="n"/>
      <c r="AK55" s="233" t="n"/>
      <c r="AL55" s="233" t="n"/>
      <c r="AM55" s="233" t="n"/>
      <c r="AN55" s="233" t="n"/>
      <c r="AO55" s="233" t="n"/>
      <c r="AP55" s="233" t="n"/>
      <c r="AQ55" s="233" t="n"/>
      <c r="AR55" s="233" t="n"/>
    </row>
    <row r="56">
      <c r="A56" s="233" t="n"/>
      <c r="B56" s="233" t="n"/>
      <c r="C56" s="233" t="n"/>
      <c r="D56" s="233" t="n"/>
      <c r="E56" s="233" t="n"/>
      <c r="F56" s="233" t="n"/>
      <c r="G56" s="233" t="n"/>
      <c r="H56" s="233" t="n"/>
      <c r="I56" s="233" t="n"/>
      <c r="J56" s="233" t="n"/>
      <c r="K56" s="233" t="n"/>
      <c r="L56" s="233" t="n"/>
      <c r="M56" s="233" t="n"/>
      <c r="N56" s="233" t="n"/>
      <c r="O56" s="233" t="n"/>
      <c r="P56" s="233" t="n"/>
      <c r="Q56" s="233" t="n"/>
      <c r="R56" s="233" t="n"/>
      <c r="S56" s="233" t="n"/>
      <c r="T56" s="233" t="n"/>
      <c r="U56" s="233" t="n"/>
      <c r="V56" s="233" t="n"/>
      <c r="W56" s="233" t="n"/>
      <c r="X56" s="233" t="n"/>
      <c r="Y56" s="233" t="n"/>
      <c r="Z56" s="233" t="n"/>
      <c r="AA56" s="233" t="n"/>
      <c r="AB56" s="233" t="n"/>
      <c r="AC56" s="233" t="n"/>
      <c r="AD56" s="233" t="n"/>
      <c r="AE56" s="233" t="n"/>
      <c r="AF56" s="233" t="n"/>
      <c r="AG56" s="233" t="n"/>
      <c r="AH56" s="233" t="n"/>
      <c r="AI56" s="233" t="n"/>
      <c r="AJ56" s="233" t="n"/>
      <c r="AK56" s="233" t="n"/>
      <c r="AL56" s="233" t="n"/>
      <c r="AM56" s="233" t="n"/>
      <c r="AN56" s="233" t="n"/>
      <c r="AO56" s="233" t="n"/>
      <c r="AP56" s="233" t="n"/>
      <c r="AQ56" s="233" t="n"/>
      <c r="AR56" s="233" t="n"/>
    </row>
    <row r="57">
      <c r="A57" s="233" t="n"/>
      <c r="B57" s="233" t="n"/>
      <c r="C57" s="233" t="n"/>
      <c r="D57" s="233" t="n"/>
      <c r="E57" s="233" t="n"/>
      <c r="F57" s="233" t="n"/>
      <c r="G57" s="233" t="n"/>
      <c r="H57" s="233" t="n"/>
      <c r="I57" s="233" t="n"/>
      <c r="J57" s="233" t="n"/>
      <c r="K57" s="233" t="n"/>
      <c r="L57" s="233" t="n"/>
      <c r="M57" s="233" t="n"/>
      <c r="N57" s="233" t="n"/>
      <c r="O57" s="233" t="n"/>
      <c r="P57" s="233" t="n"/>
      <c r="Q57" s="233" t="n"/>
      <c r="R57" s="233" t="n"/>
      <c r="S57" s="233" t="n"/>
      <c r="T57" s="233" t="n"/>
      <c r="U57" s="233" t="n"/>
      <c r="V57" s="233" t="n"/>
      <c r="W57" s="233" t="n"/>
      <c r="X57" s="233" t="n"/>
      <c r="Y57" s="233" t="n"/>
      <c r="Z57" s="233" t="n"/>
      <c r="AA57" s="233" t="n"/>
      <c r="AB57" s="233" t="n"/>
      <c r="AC57" s="233" t="n"/>
      <c r="AD57" s="233" t="n"/>
      <c r="AE57" s="233" t="n"/>
      <c r="AF57" s="233" t="n"/>
      <c r="AG57" s="233" t="n"/>
      <c r="AH57" s="233" t="n"/>
      <c r="AI57" s="233" t="n"/>
      <c r="AJ57" s="233" t="n"/>
      <c r="AK57" s="233" t="n"/>
      <c r="AL57" s="233" t="n"/>
      <c r="AM57" s="233" t="n"/>
      <c r="AN57" s="233" t="n"/>
      <c r="AO57" s="233" t="n"/>
      <c r="AP57" s="233" t="n"/>
      <c r="AQ57" s="233" t="n"/>
      <c r="AR57" s="233" t="n"/>
    </row>
    <row r="58">
      <c r="A58" s="233" t="n"/>
      <c r="B58" s="233" t="n"/>
      <c r="C58" s="233" t="n"/>
      <c r="D58" s="233" t="n"/>
      <c r="E58" s="233" t="n"/>
      <c r="F58" s="233" t="n"/>
      <c r="G58" s="233" t="n"/>
      <c r="H58" s="233" t="n"/>
      <c r="I58" s="233" t="n"/>
      <c r="J58" s="233" t="n"/>
      <c r="K58" s="233" t="n"/>
      <c r="L58" s="233" t="n"/>
      <c r="M58" s="233" t="n"/>
      <c r="N58" s="233" t="n"/>
      <c r="O58" s="233" t="n"/>
      <c r="P58" s="233" t="n"/>
      <c r="Q58" s="233" t="n"/>
      <c r="R58" s="233" t="n"/>
      <c r="S58" s="233" t="n"/>
      <c r="T58" s="233" t="n"/>
      <c r="U58" s="233" t="n"/>
      <c r="V58" s="233" t="n"/>
      <c r="W58" s="233" t="n"/>
      <c r="X58" s="233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  <c r="AK58" s="233" t="n"/>
      <c r="AL58" s="233" t="n"/>
      <c r="AM58" s="233" t="n"/>
      <c r="AN58" s="233" t="n"/>
      <c r="AO58" s="233" t="n"/>
      <c r="AP58" s="233" t="n"/>
      <c r="AQ58" s="233" t="n"/>
      <c r="AR58" s="233" t="n"/>
    </row>
    <row r="59">
      <c r="A59" s="233" t="n"/>
      <c r="B59" s="233" t="n"/>
      <c r="C59" s="233" t="n"/>
      <c r="D59" s="233" t="n"/>
      <c r="E59" s="233" t="n"/>
      <c r="F59" s="233" t="n"/>
      <c r="G59" s="233" t="n"/>
      <c r="H59" s="233" t="n"/>
      <c r="I59" s="233" t="n"/>
      <c r="J59" s="233" t="n"/>
      <c r="K59" s="233" t="n"/>
      <c r="L59" s="233" t="n"/>
      <c r="M59" s="233" t="n"/>
      <c r="N59" s="233" t="n"/>
      <c r="O59" s="233" t="n"/>
      <c r="P59" s="233" t="n"/>
      <c r="Q59" s="233" t="n"/>
      <c r="R59" s="233" t="n"/>
      <c r="S59" s="233" t="n"/>
      <c r="T59" s="233" t="n"/>
      <c r="U59" s="233" t="n"/>
      <c r="V59" s="233" t="n"/>
      <c r="W59" s="233" t="n"/>
      <c r="X59" s="233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  <c r="AK59" s="233" t="n"/>
      <c r="AL59" s="233" t="n"/>
      <c r="AM59" s="233" t="n"/>
      <c r="AN59" s="233" t="n"/>
      <c r="AO59" s="233" t="n"/>
      <c r="AP59" s="233" t="n"/>
      <c r="AQ59" s="233" t="n"/>
      <c r="AR59" s="233" t="n"/>
    </row>
    <row r="60">
      <c r="A60" s="233" t="n"/>
      <c r="B60" s="233" t="n"/>
      <c r="C60" s="233" t="n"/>
      <c r="D60" s="233" t="n"/>
      <c r="E60" s="233" t="n"/>
      <c r="F60" s="233" t="n"/>
      <c r="G60" s="233" t="n"/>
      <c r="H60" s="233" t="n"/>
      <c r="I60" s="233" t="n"/>
      <c r="J60" s="233" t="n"/>
      <c r="K60" s="233" t="n"/>
      <c r="L60" s="233" t="n"/>
      <c r="M60" s="233" t="n"/>
      <c r="N60" s="233" t="n"/>
      <c r="O60" s="233" t="n"/>
      <c r="P60" s="233" t="n"/>
      <c r="Q60" s="233" t="n"/>
      <c r="R60" s="233" t="n"/>
      <c r="S60" s="233" t="n"/>
      <c r="T60" s="233" t="n"/>
      <c r="U60" s="233" t="n"/>
      <c r="V60" s="233" t="n"/>
      <c r="W60" s="233" t="n"/>
      <c r="X60" s="233" t="n"/>
      <c r="Y60" s="233" t="n"/>
      <c r="Z60" s="233" t="n"/>
      <c r="AA60" s="233" t="n"/>
      <c r="AB60" s="233" t="n"/>
      <c r="AC60" s="233" t="n"/>
      <c r="AD60" s="233" t="n"/>
      <c r="AE60" s="233" t="n"/>
      <c r="AF60" s="233" t="n"/>
      <c r="AG60" s="233" t="n"/>
      <c r="AH60" s="233" t="n"/>
      <c r="AI60" s="233" t="n"/>
      <c r="AJ60" s="233" t="n"/>
      <c r="AK60" s="233" t="n"/>
      <c r="AL60" s="233" t="n"/>
      <c r="AM60" s="233" t="n"/>
      <c r="AN60" s="233" t="n"/>
      <c r="AO60" s="233" t="n"/>
      <c r="AP60" s="233" t="n"/>
      <c r="AQ60" s="233" t="n"/>
      <c r="AR60" s="233" t="n"/>
    </row>
    <row r="61">
      <c r="A61" s="233" t="n"/>
      <c r="B61" s="233" t="n"/>
      <c r="C61" s="233" t="n"/>
      <c r="D61" s="233" t="n"/>
      <c r="E61" s="233" t="n"/>
      <c r="F61" s="233" t="n"/>
      <c r="G61" s="233" t="n"/>
      <c r="H61" s="233" t="n"/>
      <c r="I61" s="233" t="n"/>
      <c r="J61" s="233" t="n"/>
      <c r="K61" s="233" t="n"/>
      <c r="L61" s="233" t="n"/>
      <c r="M61" s="233" t="n"/>
      <c r="N61" s="233" t="n"/>
      <c r="O61" s="233" t="n"/>
      <c r="P61" s="233" t="n"/>
      <c r="Q61" s="233" t="n"/>
      <c r="R61" s="233" t="n"/>
      <c r="S61" s="233" t="n"/>
      <c r="T61" s="233" t="n"/>
      <c r="U61" s="233" t="n"/>
      <c r="V61" s="233" t="n"/>
      <c r="W61" s="233" t="n"/>
      <c r="X61" s="233" t="n"/>
      <c r="Y61" s="233" t="n"/>
      <c r="Z61" s="233" t="n"/>
      <c r="AA61" s="233" t="n"/>
      <c r="AB61" s="233" t="n"/>
      <c r="AC61" s="233" t="n"/>
      <c r="AD61" s="233" t="n"/>
      <c r="AE61" s="233" t="n"/>
      <c r="AF61" s="233" t="n"/>
      <c r="AG61" s="233" t="n"/>
      <c r="AH61" s="233" t="n"/>
      <c r="AI61" s="233" t="n"/>
      <c r="AJ61" s="233" t="n"/>
      <c r="AK61" s="233" t="n"/>
      <c r="AL61" s="233" t="n"/>
      <c r="AM61" s="233" t="n"/>
      <c r="AN61" s="233" t="n"/>
      <c r="AO61" s="233" t="n"/>
      <c r="AP61" s="233" t="n"/>
      <c r="AQ61" s="233" t="n"/>
      <c r="AR61" s="233" t="n"/>
    </row>
    <row r="62">
      <c r="A62" s="233" t="n"/>
      <c r="B62" s="233" t="n"/>
      <c r="C62" s="233" t="n"/>
      <c r="D62" s="233" t="n"/>
      <c r="E62" s="233" t="n"/>
      <c r="F62" s="233" t="n"/>
      <c r="G62" s="233" t="n"/>
      <c r="H62" s="233" t="n"/>
      <c r="I62" s="233" t="n"/>
      <c r="J62" s="233" t="n"/>
      <c r="K62" s="233" t="n"/>
      <c r="L62" s="233" t="n"/>
      <c r="M62" s="233" t="n"/>
      <c r="N62" s="233" t="n"/>
      <c r="O62" s="233" t="n"/>
      <c r="P62" s="233" t="n"/>
      <c r="Q62" s="233" t="n"/>
      <c r="R62" s="233" t="n"/>
      <c r="S62" s="233" t="n"/>
      <c r="T62" s="233" t="n"/>
      <c r="U62" s="233" t="n"/>
      <c r="V62" s="233" t="n"/>
      <c r="W62" s="233" t="n"/>
      <c r="X62" s="233" t="n"/>
      <c r="Y62" s="233" t="n"/>
      <c r="Z62" s="233" t="n"/>
      <c r="AA62" s="233" t="n"/>
      <c r="AB62" s="233" t="n"/>
      <c r="AC62" s="233" t="n"/>
      <c r="AD62" s="233" t="n"/>
      <c r="AE62" s="233" t="n"/>
      <c r="AF62" s="233" t="n"/>
      <c r="AG62" s="233" t="n"/>
      <c r="AH62" s="233" t="n"/>
      <c r="AI62" s="233" t="n"/>
      <c r="AJ62" s="233" t="n"/>
      <c r="AK62" s="233" t="n"/>
      <c r="AL62" s="233" t="n"/>
      <c r="AM62" s="233" t="n"/>
      <c r="AN62" s="233" t="n"/>
      <c r="AO62" s="233" t="n"/>
      <c r="AP62" s="233" t="n"/>
      <c r="AQ62" s="233" t="n"/>
      <c r="AR62" s="233" t="n"/>
    </row>
    <row r="63">
      <c r="A63" s="233" t="n"/>
      <c r="B63" s="233" t="n"/>
      <c r="C63" s="233" t="n"/>
      <c r="D63" s="233" t="n"/>
      <c r="E63" s="233" t="n"/>
      <c r="F63" s="233" t="n"/>
      <c r="G63" s="233" t="n"/>
      <c r="H63" s="233" t="n"/>
      <c r="I63" s="233" t="n"/>
      <c r="J63" s="233" t="n"/>
      <c r="K63" s="233" t="n"/>
      <c r="L63" s="233" t="n"/>
      <c r="M63" s="233" t="n"/>
      <c r="N63" s="233" t="n"/>
      <c r="O63" s="233" t="n"/>
      <c r="P63" s="233" t="n"/>
      <c r="Q63" s="233" t="n"/>
      <c r="R63" s="233" t="n"/>
      <c r="S63" s="233" t="n"/>
      <c r="T63" s="233" t="n"/>
      <c r="U63" s="233" t="n"/>
      <c r="V63" s="233" t="n"/>
      <c r="W63" s="233" t="n"/>
      <c r="X63" s="233" t="n"/>
      <c r="Y63" s="233" t="n"/>
      <c r="Z63" s="233" t="n"/>
      <c r="AA63" s="233" t="n"/>
      <c r="AB63" s="233" t="n"/>
      <c r="AC63" s="233" t="n"/>
      <c r="AD63" s="233" t="n"/>
      <c r="AE63" s="233" t="n"/>
      <c r="AF63" s="233" t="n"/>
      <c r="AG63" s="233" t="n"/>
      <c r="AH63" s="233" t="n"/>
      <c r="AI63" s="233" t="n"/>
      <c r="AJ63" s="233" t="n"/>
      <c r="AK63" s="233" t="n"/>
      <c r="AL63" s="233" t="n"/>
      <c r="AM63" s="233" t="n"/>
      <c r="AN63" s="233" t="n"/>
      <c r="AO63" s="233" t="n"/>
      <c r="AP63" s="233" t="n"/>
      <c r="AQ63" s="233" t="n"/>
      <c r="AR63" s="233" t="n"/>
    </row>
    <row r="64">
      <c r="A64" s="233" t="n"/>
      <c r="B64" s="233" t="n"/>
      <c r="C64" s="233" t="n"/>
      <c r="D64" s="233" t="n"/>
      <c r="E64" s="233" t="n"/>
      <c r="F64" s="233" t="n"/>
      <c r="G64" s="233" t="n"/>
      <c r="H64" s="233" t="n"/>
      <c r="I64" s="233" t="n"/>
      <c r="J64" s="233" t="n"/>
      <c r="K64" s="233" t="n"/>
      <c r="L64" s="233" t="n"/>
      <c r="M64" s="233" t="n"/>
      <c r="N64" s="233" t="n"/>
      <c r="O64" s="233" t="n"/>
      <c r="P64" s="233" t="n"/>
      <c r="Q64" s="233" t="n"/>
      <c r="R64" s="233" t="n"/>
      <c r="S64" s="233" t="n"/>
      <c r="T64" s="233" t="n"/>
      <c r="U64" s="233" t="n"/>
      <c r="V64" s="233" t="n"/>
      <c r="W64" s="233" t="n"/>
      <c r="X64" s="233" t="n"/>
      <c r="Y64" s="233" t="n"/>
      <c r="Z64" s="233" t="n"/>
      <c r="AA64" s="233" t="n"/>
      <c r="AB64" s="233" t="n"/>
      <c r="AC64" s="233" t="n"/>
      <c r="AD64" s="233" t="n"/>
      <c r="AE64" s="233" t="n"/>
      <c r="AF64" s="233" t="n"/>
      <c r="AG64" s="233" t="n"/>
      <c r="AH64" s="233" t="n"/>
      <c r="AI64" s="233" t="n"/>
      <c r="AJ64" s="233" t="n"/>
      <c r="AK64" s="233" t="n"/>
      <c r="AL64" s="233" t="n"/>
      <c r="AM64" s="233" t="n"/>
      <c r="AN64" s="233" t="n"/>
      <c r="AO64" s="233" t="n"/>
      <c r="AP64" s="233" t="n"/>
      <c r="AQ64" s="233" t="n"/>
      <c r="AR64" s="233" t="n"/>
    </row>
    <row r="65">
      <c r="A65" s="233" t="n"/>
      <c r="B65" s="233" t="n"/>
      <c r="C65" s="233" t="n"/>
      <c r="D65" s="233" t="n"/>
      <c r="E65" s="233" t="n"/>
      <c r="F65" s="233" t="n"/>
      <c r="G65" s="233" t="n"/>
      <c r="H65" s="233" t="n"/>
      <c r="I65" s="233" t="n"/>
      <c r="J65" s="233" t="n"/>
      <c r="K65" s="233" t="n"/>
      <c r="L65" s="233" t="n"/>
      <c r="M65" s="233" t="n"/>
      <c r="N65" s="233" t="n"/>
      <c r="O65" s="233" t="n"/>
      <c r="P65" s="233" t="n"/>
      <c r="Q65" s="233" t="n"/>
      <c r="R65" s="233" t="n"/>
      <c r="S65" s="233" t="n"/>
      <c r="T65" s="233" t="n"/>
      <c r="U65" s="233" t="n"/>
      <c r="V65" s="233" t="n"/>
      <c r="W65" s="233" t="n"/>
      <c r="X65" s="233" t="n"/>
      <c r="Y65" s="233" t="n"/>
      <c r="Z65" s="233" t="n"/>
      <c r="AA65" s="233" t="n"/>
      <c r="AB65" s="233" t="n"/>
      <c r="AC65" s="233" t="n"/>
      <c r="AD65" s="233" t="n"/>
      <c r="AE65" s="233" t="n"/>
      <c r="AF65" s="233" t="n"/>
      <c r="AG65" s="233" t="n"/>
      <c r="AH65" s="233" t="n"/>
      <c r="AI65" s="233" t="n"/>
      <c r="AJ65" s="233" t="n"/>
      <c r="AK65" s="233" t="n"/>
      <c r="AL65" s="233" t="n"/>
      <c r="AM65" s="233" t="n"/>
      <c r="AN65" s="233" t="n"/>
      <c r="AO65" s="233" t="n"/>
      <c r="AP65" s="233" t="n"/>
      <c r="AQ65" s="233" t="n"/>
      <c r="AR65" s="233" t="n"/>
    </row>
    <row r="66">
      <c r="A66" s="233" t="n"/>
      <c r="B66" s="233" t="n"/>
      <c r="C66" s="233" t="n"/>
      <c r="D66" s="233" t="n"/>
      <c r="E66" s="233" t="n"/>
      <c r="F66" s="233" t="n"/>
      <c r="G66" s="233" t="n"/>
      <c r="H66" s="233" t="n"/>
      <c r="I66" s="233" t="n"/>
      <c r="J66" s="233" t="n"/>
      <c r="K66" s="233" t="n"/>
      <c r="L66" s="233" t="n"/>
      <c r="M66" s="233" t="n"/>
      <c r="N66" s="233" t="n"/>
      <c r="O66" s="233" t="n"/>
      <c r="P66" s="233" t="n"/>
      <c r="Q66" s="233" t="n"/>
      <c r="R66" s="233" t="n"/>
      <c r="S66" s="233" t="n"/>
      <c r="T66" s="233" t="n"/>
      <c r="U66" s="233" t="n"/>
      <c r="V66" s="233" t="n"/>
      <c r="W66" s="233" t="n"/>
      <c r="X66" s="233" t="n"/>
      <c r="Y66" s="233" t="n"/>
      <c r="Z66" s="233" t="n"/>
      <c r="AA66" s="233" t="n"/>
      <c r="AB66" s="233" t="n"/>
      <c r="AC66" s="233" t="n"/>
      <c r="AD66" s="233" t="n"/>
      <c r="AE66" s="233" t="n"/>
      <c r="AF66" s="233" t="n"/>
      <c r="AG66" s="233" t="n"/>
      <c r="AH66" s="233" t="n"/>
      <c r="AI66" s="233" t="n"/>
      <c r="AJ66" s="233" t="n"/>
      <c r="AK66" s="233" t="n"/>
      <c r="AL66" s="233" t="n"/>
      <c r="AM66" s="233" t="n"/>
      <c r="AN66" s="233" t="n"/>
      <c r="AO66" s="233" t="n"/>
      <c r="AP66" s="233" t="n"/>
      <c r="AQ66" s="233" t="n"/>
      <c r="AR66" s="233" t="n"/>
    </row>
    <row r="67">
      <c r="A67" s="233" t="n"/>
      <c r="B67" s="233" t="n"/>
      <c r="C67" s="233" t="n"/>
      <c r="D67" s="233" t="n"/>
      <c r="E67" s="233" t="n"/>
      <c r="F67" s="233" t="n"/>
      <c r="G67" s="233" t="n"/>
      <c r="H67" s="233" t="n"/>
      <c r="I67" s="233" t="n"/>
      <c r="J67" s="233" t="n"/>
      <c r="K67" s="233" t="n"/>
      <c r="L67" s="233" t="n"/>
      <c r="M67" s="233" t="n"/>
      <c r="N67" s="233" t="n"/>
      <c r="O67" s="233" t="n"/>
      <c r="P67" s="233" t="n"/>
      <c r="Q67" s="233" t="n"/>
      <c r="R67" s="233" t="n"/>
      <c r="S67" s="233" t="n"/>
      <c r="T67" s="233" t="n"/>
      <c r="U67" s="233" t="n"/>
      <c r="V67" s="233" t="n"/>
      <c r="W67" s="233" t="n"/>
      <c r="X67" s="233" t="n"/>
      <c r="Y67" s="233" t="n"/>
      <c r="Z67" s="233" t="n"/>
      <c r="AA67" s="233" t="n"/>
      <c r="AB67" s="233" t="n"/>
      <c r="AC67" s="233" t="n"/>
      <c r="AD67" s="233" t="n"/>
      <c r="AE67" s="233" t="n"/>
      <c r="AF67" s="233" t="n"/>
      <c r="AG67" s="233" t="n"/>
      <c r="AH67" s="233" t="n"/>
      <c r="AI67" s="233" t="n"/>
      <c r="AJ67" s="233" t="n"/>
      <c r="AK67" s="233" t="n"/>
      <c r="AL67" s="233" t="n"/>
      <c r="AM67" s="233" t="n"/>
      <c r="AN67" s="233" t="n"/>
      <c r="AO67" s="233" t="n"/>
      <c r="AP67" s="233" t="n"/>
      <c r="AQ67" s="233" t="n"/>
      <c r="AR67" s="233" t="n"/>
    </row>
    <row r="68">
      <c r="A68" s="233" t="n"/>
      <c r="B68" s="233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233" t="n"/>
      <c r="O68" s="233" t="n"/>
      <c r="P68" s="233" t="n"/>
      <c r="Q68" s="233" t="n"/>
      <c r="R68" s="233" t="n"/>
      <c r="S68" s="233" t="n"/>
      <c r="T68" s="233" t="n"/>
      <c r="U68" s="233" t="n"/>
      <c r="V68" s="233" t="n"/>
      <c r="W68" s="233" t="n"/>
      <c r="X68" s="233" t="n"/>
      <c r="Y68" s="233" t="n"/>
      <c r="Z68" s="233" t="n"/>
      <c r="AA68" s="233" t="n"/>
      <c r="AB68" s="233" t="n"/>
      <c r="AC68" s="233" t="n"/>
      <c r="AD68" s="233" t="n"/>
      <c r="AE68" s="233" t="n"/>
      <c r="AF68" s="233" t="n"/>
      <c r="AG68" s="233" t="n"/>
      <c r="AH68" s="233" t="n"/>
      <c r="AI68" s="233" t="n"/>
      <c r="AJ68" s="233" t="n"/>
      <c r="AK68" s="233" t="n"/>
      <c r="AL68" s="233" t="n"/>
      <c r="AM68" s="233" t="n"/>
      <c r="AN68" s="233" t="n"/>
      <c r="AO68" s="233" t="n"/>
      <c r="AP68" s="233" t="n"/>
      <c r="AQ68" s="233" t="n"/>
      <c r="AR68" s="233" t="n"/>
    </row>
    <row r="69">
      <c r="A69" s="233" t="n"/>
      <c r="B69" s="233" t="n"/>
      <c r="C69" s="233" t="n"/>
      <c r="D69" s="233" t="n"/>
      <c r="E69" s="233" t="n"/>
      <c r="F69" s="233" t="n"/>
      <c r="G69" s="233" t="n"/>
      <c r="H69" s="233" t="n"/>
      <c r="I69" s="233" t="n"/>
      <c r="J69" s="233" t="n"/>
      <c r="K69" s="233" t="n"/>
      <c r="L69" s="233" t="n"/>
      <c r="M69" s="233" t="n"/>
      <c r="N69" s="233" t="n"/>
      <c r="O69" s="233" t="n"/>
      <c r="P69" s="233" t="n"/>
      <c r="Q69" s="233" t="n"/>
      <c r="R69" s="233" t="n"/>
      <c r="S69" s="233" t="n"/>
      <c r="T69" s="233" t="n"/>
      <c r="U69" s="233" t="n"/>
      <c r="V69" s="233" t="n"/>
      <c r="W69" s="233" t="n"/>
      <c r="X69" s="233" t="n"/>
      <c r="Y69" s="233" t="n"/>
      <c r="Z69" s="233" t="n"/>
      <c r="AA69" s="233" t="n"/>
      <c r="AB69" s="233" t="n"/>
      <c r="AC69" s="233" t="n"/>
      <c r="AD69" s="233" t="n"/>
      <c r="AE69" s="233" t="n"/>
      <c r="AF69" s="233" t="n"/>
      <c r="AG69" s="233" t="n"/>
      <c r="AH69" s="233" t="n"/>
      <c r="AI69" s="233" t="n"/>
      <c r="AJ69" s="233" t="n"/>
      <c r="AK69" s="233" t="n"/>
      <c r="AL69" s="233" t="n"/>
      <c r="AM69" s="233" t="n"/>
      <c r="AN69" s="233" t="n"/>
      <c r="AO69" s="233" t="n"/>
      <c r="AP69" s="233" t="n"/>
      <c r="AQ69" s="233" t="n"/>
      <c r="AR69" s="233" t="n"/>
    </row>
    <row r="70">
      <c r="A70" s="233" t="n"/>
      <c r="B70" s="233" t="n"/>
      <c r="C70" s="233" t="n"/>
      <c r="D70" s="233" t="n"/>
      <c r="E70" s="233" t="n"/>
      <c r="F70" s="233" t="n"/>
      <c r="G70" s="233" t="n"/>
      <c r="H70" s="233" t="n"/>
      <c r="I70" s="233" t="n"/>
      <c r="J70" s="233" t="n"/>
      <c r="K70" s="233" t="n"/>
      <c r="L70" s="233" t="n"/>
      <c r="M70" s="233" t="n"/>
      <c r="N70" s="233" t="n"/>
      <c r="O70" s="233" t="n"/>
      <c r="P70" s="233" t="n"/>
      <c r="Q70" s="233" t="n"/>
      <c r="R70" s="233" t="n"/>
      <c r="S70" s="233" t="n"/>
      <c r="T70" s="233" t="n"/>
      <c r="U70" s="233" t="n"/>
      <c r="V70" s="233" t="n"/>
      <c r="W70" s="233" t="n"/>
      <c r="X70" s="233" t="n"/>
      <c r="Y70" s="233" t="n"/>
      <c r="Z70" s="233" t="n"/>
      <c r="AA70" s="233" t="n"/>
      <c r="AB70" s="233" t="n"/>
      <c r="AC70" s="233" t="n"/>
      <c r="AD70" s="233" t="n"/>
      <c r="AE70" s="233" t="n"/>
      <c r="AF70" s="233" t="n"/>
      <c r="AG70" s="233" t="n"/>
      <c r="AH70" s="233" t="n"/>
      <c r="AI70" s="233" t="n"/>
      <c r="AJ70" s="233" t="n"/>
      <c r="AK70" s="233" t="n"/>
      <c r="AL70" s="233" t="n"/>
      <c r="AM70" s="233" t="n"/>
      <c r="AN70" s="233" t="n"/>
      <c r="AO70" s="233" t="n"/>
      <c r="AP70" s="233" t="n"/>
      <c r="AQ70" s="233" t="n"/>
      <c r="AR70" s="233" t="n"/>
    </row>
    <row r="71">
      <c r="A71" s="233" t="n"/>
      <c r="B71" s="233" t="n"/>
      <c r="C71" s="233" t="n"/>
      <c r="D71" s="233" t="n"/>
      <c r="E71" s="233" t="n"/>
      <c r="F71" s="233" t="n"/>
      <c r="G71" s="233" t="n"/>
      <c r="H71" s="233" t="n"/>
      <c r="I71" s="233" t="n"/>
      <c r="J71" s="233" t="n"/>
      <c r="K71" s="233" t="n"/>
      <c r="L71" s="233" t="n"/>
      <c r="M71" s="233" t="n"/>
      <c r="N71" s="233" t="n"/>
      <c r="O71" s="233" t="n"/>
      <c r="P71" s="233" t="n"/>
      <c r="Q71" s="233" t="n"/>
      <c r="R71" s="233" t="n"/>
      <c r="S71" s="233" t="n"/>
      <c r="T71" s="233" t="n"/>
      <c r="U71" s="233" t="n"/>
      <c r="V71" s="233" t="n"/>
      <c r="W71" s="233" t="n"/>
      <c r="X71" s="233" t="n"/>
      <c r="Y71" s="233" t="n"/>
      <c r="Z71" s="233" t="n"/>
      <c r="AA71" s="233" t="n"/>
      <c r="AB71" s="233" t="n"/>
      <c r="AC71" s="233" t="n"/>
      <c r="AD71" s="233" t="n"/>
      <c r="AE71" s="233" t="n"/>
      <c r="AF71" s="233" t="n"/>
      <c r="AG71" s="233" t="n"/>
      <c r="AH71" s="233" t="n"/>
      <c r="AI71" s="233" t="n"/>
      <c r="AJ71" s="233" t="n"/>
      <c r="AK71" s="233" t="n"/>
      <c r="AL71" s="233" t="n"/>
      <c r="AM71" s="233" t="n"/>
      <c r="AN71" s="233" t="n"/>
      <c r="AO71" s="233" t="n"/>
      <c r="AP71" s="233" t="n"/>
      <c r="AQ71" s="233" t="n"/>
      <c r="AR71" s="233" t="n"/>
    </row>
    <row r="72">
      <c r="A72" s="233" t="n"/>
      <c r="B72" s="233" t="n"/>
      <c r="C72" s="233" t="n"/>
      <c r="D72" s="233" t="n"/>
      <c r="E72" s="233" t="n"/>
      <c r="F72" s="233" t="n"/>
      <c r="G72" s="233" t="n"/>
      <c r="H72" s="233" t="n"/>
      <c r="I72" s="233" t="n"/>
      <c r="J72" s="233" t="n"/>
      <c r="K72" s="233" t="n"/>
      <c r="L72" s="233" t="n"/>
      <c r="M72" s="233" t="n"/>
      <c r="N72" s="233" t="n"/>
      <c r="O72" s="233" t="n"/>
      <c r="P72" s="233" t="n"/>
      <c r="Q72" s="233" t="n"/>
      <c r="R72" s="233" t="n"/>
      <c r="S72" s="233" t="n"/>
      <c r="T72" s="233" t="n"/>
      <c r="U72" s="233" t="n"/>
      <c r="V72" s="233" t="n"/>
      <c r="W72" s="233" t="n"/>
      <c r="X72" s="233" t="n"/>
      <c r="Y72" s="233" t="n"/>
      <c r="Z72" s="233" t="n"/>
      <c r="AA72" s="233" t="n"/>
      <c r="AB72" s="233" t="n"/>
      <c r="AC72" s="233" t="n"/>
      <c r="AD72" s="233" t="n"/>
      <c r="AE72" s="233" t="n"/>
      <c r="AF72" s="233" t="n"/>
      <c r="AG72" s="233" t="n"/>
      <c r="AH72" s="233" t="n"/>
      <c r="AI72" s="233" t="n"/>
      <c r="AJ72" s="233" t="n"/>
      <c r="AK72" s="233" t="n"/>
      <c r="AL72" s="233" t="n"/>
      <c r="AM72" s="233" t="n"/>
      <c r="AN72" s="233" t="n"/>
      <c r="AO72" s="233" t="n"/>
      <c r="AP72" s="233" t="n"/>
      <c r="AQ72" s="233" t="n"/>
      <c r="AR72" s="233" t="n"/>
    </row>
    <row r="73">
      <c r="A73" s="233" t="n"/>
      <c r="B73" s="233" t="n"/>
      <c r="C73" s="233" t="n"/>
      <c r="D73" s="233" t="n"/>
      <c r="E73" s="233" t="n"/>
      <c r="F73" s="233" t="n"/>
      <c r="G73" s="233" t="n"/>
      <c r="H73" s="233" t="n"/>
      <c r="I73" s="233" t="n"/>
      <c r="J73" s="233" t="n"/>
      <c r="K73" s="233" t="n"/>
      <c r="L73" s="233" t="n"/>
      <c r="M73" s="233" t="n"/>
      <c r="N73" s="233" t="n"/>
      <c r="O73" s="233" t="n"/>
      <c r="P73" s="233" t="n"/>
      <c r="Q73" s="233" t="n"/>
      <c r="R73" s="233" t="n"/>
      <c r="S73" s="233" t="n"/>
      <c r="T73" s="233" t="n"/>
      <c r="U73" s="233" t="n"/>
      <c r="V73" s="233" t="n"/>
      <c r="W73" s="233" t="n"/>
      <c r="X73" s="233" t="n"/>
      <c r="Y73" s="233" t="n"/>
      <c r="Z73" s="233" t="n"/>
      <c r="AA73" s="233" t="n"/>
      <c r="AB73" s="233" t="n"/>
      <c r="AC73" s="233" t="n"/>
      <c r="AD73" s="233" t="n"/>
      <c r="AE73" s="233" t="n"/>
      <c r="AF73" s="233" t="n"/>
      <c r="AG73" s="233" t="n"/>
      <c r="AH73" s="233" t="n"/>
      <c r="AI73" s="233" t="n"/>
      <c r="AJ73" s="233" t="n"/>
      <c r="AK73" s="233" t="n"/>
      <c r="AL73" s="233" t="n"/>
      <c r="AM73" s="233" t="n"/>
      <c r="AN73" s="233" t="n"/>
      <c r="AO73" s="233" t="n"/>
      <c r="AP73" s="233" t="n"/>
      <c r="AQ73" s="233" t="n"/>
      <c r="AR73" s="233" t="n"/>
    </row>
    <row r="74">
      <c r="A74" s="233" t="n"/>
      <c r="B74" s="233" t="n"/>
      <c r="C74" s="233" t="n"/>
      <c r="D74" s="233" t="n"/>
      <c r="E74" s="233" t="n"/>
      <c r="F74" s="233" t="n"/>
      <c r="G74" s="233" t="n"/>
      <c r="H74" s="233" t="n"/>
      <c r="I74" s="233" t="n"/>
      <c r="J74" s="233" t="n"/>
      <c r="K74" s="233" t="n"/>
      <c r="L74" s="233" t="n"/>
      <c r="M74" s="233" t="n"/>
      <c r="N74" s="233" t="n"/>
      <c r="O74" s="233" t="n"/>
      <c r="P74" s="233" t="n"/>
      <c r="Q74" s="233" t="n"/>
      <c r="R74" s="233" t="n"/>
      <c r="S74" s="233" t="n"/>
      <c r="T74" s="233" t="n"/>
      <c r="U74" s="233" t="n"/>
      <c r="V74" s="233" t="n"/>
      <c r="W74" s="233" t="n"/>
      <c r="X74" s="233" t="n"/>
      <c r="Y74" s="233" t="n"/>
      <c r="Z74" s="233" t="n"/>
      <c r="AA74" s="233" t="n"/>
      <c r="AB74" s="233" t="n"/>
      <c r="AC74" s="233" t="n"/>
      <c r="AD74" s="233" t="n"/>
      <c r="AE74" s="233" t="n"/>
      <c r="AF74" s="233" t="n"/>
      <c r="AG74" s="233" t="n"/>
      <c r="AH74" s="233" t="n"/>
      <c r="AI74" s="233" t="n"/>
      <c r="AJ74" s="233" t="n"/>
      <c r="AK74" s="233" t="n"/>
      <c r="AL74" s="233" t="n"/>
      <c r="AM74" s="233" t="n"/>
      <c r="AN74" s="233" t="n"/>
      <c r="AO74" s="233" t="n"/>
      <c r="AP74" s="233" t="n"/>
      <c r="AQ74" s="233" t="n"/>
      <c r="AR74" s="233" t="n"/>
    </row>
    <row r="75">
      <c r="A75" s="233" t="n"/>
      <c r="B75" s="233" t="n"/>
      <c r="C75" s="233" t="n"/>
      <c r="D75" s="233" t="n"/>
      <c r="E75" s="233" t="n"/>
      <c r="F75" s="233" t="n"/>
      <c r="G75" s="233" t="n"/>
      <c r="H75" s="233" t="n"/>
      <c r="I75" s="233" t="n"/>
      <c r="J75" s="233" t="n"/>
      <c r="K75" s="233" t="n"/>
      <c r="L75" s="233" t="n"/>
      <c r="M75" s="233" t="n"/>
      <c r="N75" s="233" t="n"/>
      <c r="O75" s="233" t="n"/>
      <c r="P75" s="233" t="n"/>
      <c r="Q75" s="233" t="n"/>
      <c r="R75" s="233" t="n"/>
      <c r="S75" s="233" t="n"/>
      <c r="T75" s="233" t="n"/>
      <c r="U75" s="233" t="n"/>
      <c r="V75" s="233" t="n"/>
      <c r="W75" s="233" t="n"/>
      <c r="X75" s="233" t="n"/>
      <c r="Y75" s="233" t="n"/>
      <c r="Z75" s="233" t="n"/>
      <c r="AA75" s="233" t="n"/>
      <c r="AB75" s="233" t="n"/>
      <c r="AC75" s="233" t="n"/>
      <c r="AD75" s="233" t="n"/>
      <c r="AE75" s="233" t="n"/>
      <c r="AF75" s="233" t="n"/>
      <c r="AG75" s="233" t="n"/>
      <c r="AH75" s="233" t="n"/>
      <c r="AI75" s="233" t="n"/>
      <c r="AJ75" s="233" t="n"/>
      <c r="AK75" s="233" t="n"/>
      <c r="AL75" s="233" t="n"/>
      <c r="AM75" s="233" t="n"/>
      <c r="AN75" s="233" t="n"/>
      <c r="AO75" s="233" t="n"/>
      <c r="AP75" s="233" t="n"/>
      <c r="AQ75" s="233" t="n"/>
      <c r="AR75" s="233" t="n"/>
    </row>
    <row r="76">
      <c r="A76" s="233" t="n"/>
      <c r="B76" s="233" t="n"/>
      <c r="C76" s="233" t="n"/>
      <c r="D76" s="233" t="n"/>
      <c r="E76" s="233" t="n"/>
      <c r="F76" s="233" t="n"/>
      <c r="G76" s="233" t="n"/>
      <c r="H76" s="233" t="n"/>
      <c r="I76" s="233" t="n"/>
      <c r="J76" s="233" t="n"/>
      <c r="K76" s="233" t="n"/>
      <c r="L76" s="233" t="n"/>
      <c r="M76" s="233" t="n"/>
      <c r="N76" s="233" t="n"/>
      <c r="O76" s="233" t="n"/>
      <c r="P76" s="233" t="n"/>
      <c r="Q76" s="233" t="n"/>
      <c r="R76" s="233" t="n"/>
      <c r="S76" s="233" t="n"/>
      <c r="T76" s="233" t="n"/>
      <c r="U76" s="233" t="n"/>
      <c r="V76" s="233" t="n"/>
      <c r="W76" s="233" t="n"/>
      <c r="X76" s="233" t="n"/>
      <c r="Y76" s="233" t="n"/>
      <c r="Z76" s="233" t="n"/>
      <c r="AA76" s="233" t="n"/>
      <c r="AB76" s="233" t="n"/>
      <c r="AC76" s="233" t="n"/>
      <c r="AD76" s="233" t="n"/>
      <c r="AE76" s="233" t="n"/>
      <c r="AF76" s="233" t="n"/>
      <c r="AG76" s="233" t="n"/>
      <c r="AH76" s="233" t="n"/>
      <c r="AI76" s="233" t="n"/>
      <c r="AJ76" s="233" t="n"/>
      <c r="AK76" s="233" t="n"/>
      <c r="AL76" s="233" t="n"/>
      <c r="AM76" s="233" t="n"/>
      <c r="AN76" s="233" t="n"/>
      <c r="AO76" s="233" t="n"/>
      <c r="AP76" s="233" t="n"/>
      <c r="AQ76" s="233" t="n"/>
      <c r="AR76" s="233" t="n"/>
    </row>
    <row r="77">
      <c r="A77" s="233" t="n"/>
      <c r="B77" s="233" t="n"/>
      <c r="C77" s="233" t="n"/>
      <c r="D77" s="233" t="n"/>
      <c r="E77" s="233" t="n"/>
      <c r="F77" s="233" t="n"/>
      <c r="G77" s="233" t="n"/>
      <c r="H77" s="233" t="n"/>
      <c r="I77" s="233" t="n"/>
      <c r="J77" s="233" t="n"/>
      <c r="K77" s="233" t="n"/>
      <c r="L77" s="233" t="n"/>
      <c r="M77" s="233" t="n"/>
      <c r="N77" s="233" t="n"/>
      <c r="O77" s="233" t="n"/>
      <c r="P77" s="233" t="n"/>
      <c r="Q77" s="233" t="n"/>
      <c r="R77" s="233" t="n"/>
      <c r="S77" s="233" t="n"/>
      <c r="T77" s="233" t="n"/>
      <c r="U77" s="233" t="n"/>
      <c r="V77" s="233" t="n"/>
      <c r="W77" s="233" t="n"/>
      <c r="X77" s="233" t="n"/>
      <c r="Y77" s="233" t="n"/>
      <c r="Z77" s="233" t="n"/>
      <c r="AA77" s="233" t="n"/>
      <c r="AB77" s="233" t="n"/>
      <c r="AC77" s="233" t="n"/>
      <c r="AD77" s="233" t="n"/>
      <c r="AE77" s="233" t="n"/>
      <c r="AF77" s="233" t="n"/>
      <c r="AG77" s="233" t="n"/>
      <c r="AH77" s="233" t="n"/>
      <c r="AI77" s="233" t="n"/>
      <c r="AJ77" s="233" t="n"/>
      <c r="AK77" s="233" t="n"/>
      <c r="AL77" s="233" t="n"/>
      <c r="AM77" s="233" t="n"/>
      <c r="AN77" s="233" t="n"/>
      <c r="AO77" s="233" t="n"/>
      <c r="AP77" s="233" t="n"/>
      <c r="AQ77" s="233" t="n"/>
      <c r="AR77" s="233" t="n"/>
    </row>
    <row r="78">
      <c r="A78" s="233" t="n"/>
      <c r="B78" s="233" t="n"/>
      <c r="C78" s="233" t="n"/>
      <c r="D78" s="233" t="n"/>
      <c r="E78" s="233" t="n"/>
      <c r="F78" s="233" t="n"/>
      <c r="G78" s="233" t="n"/>
      <c r="H78" s="233" t="n"/>
      <c r="I78" s="233" t="n"/>
      <c r="J78" s="233" t="n"/>
      <c r="K78" s="233" t="n"/>
      <c r="L78" s="233" t="n"/>
      <c r="M78" s="233" t="n"/>
      <c r="N78" s="233" t="n"/>
      <c r="O78" s="233" t="n"/>
      <c r="P78" s="233" t="n"/>
      <c r="Q78" s="233" t="n"/>
      <c r="R78" s="233" t="n"/>
      <c r="S78" s="233" t="n"/>
      <c r="T78" s="233" t="n"/>
      <c r="U78" s="233" t="n"/>
      <c r="V78" s="233" t="n"/>
      <c r="W78" s="233" t="n"/>
      <c r="X78" s="233" t="n"/>
      <c r="Y78" s="233" t="n"/>
      <c r="Z78" s="233" t="n"/>
      <c r="AA78" s="233" t="n"/>
      <c r="AB78" s="233" t="n"/>
      <c r="AC78" s="233" t="n"/>
      <c r="AD78" s="233" t="n"/>
      <c r="AE78" s="233" t="n"/>
      <c r="AF78" s="233" t="n"/>
      <c r="AG78" s="233" t="n"/>
      <c r="AH78" s="233" t="n"/>
      <c r="AI78" s="233" t="n"/>
      <c r="AJ78" s="233" t="n"/>
      <c r="AK78" s="233" t="n"/>
      <c r="AL78" s="233" t="n"/>
      <c r="AM78" s="233" t="n"/>
      <c r="AN78" s="233" t="n"/>
      <c r="AO78" s="233" t="n"/>
      <c r="AP78" s="233" t="n"/>
      <c r="AQ78" s="233" t="n"/>
      <c r="AR78" s="233" t="n"/>
    </row>
    <row r="79">
      <c r="A79" s="233" t="n"/>
      <c r="B79" s="233" t="n"/>
      <c r="C79" s="233" t="n"/>
      <c r="D79" s="233" t="n"/>
      <c r="E79" s="233" t="n"/>
      <c r="F79" s="233" t="n"/>
      <c r="G79" s="233" t="n"/>
      <c r="H79" s="233" t="n"/>
      <c r="I79" s="233" t="n"/>
      <c r="J79" s="233" t="n"/>
      <c r="K79" s="233" t="n"/>
      <c r="L79" s="233" t="n"/>
      <c r="M79" s="233" t="n"/>
      <c r="N79" s="233" t="n"/>
      <c r="O79" s="233" t="n"/>
      <c r="P79" s="233" t="n"/>
      <c r="Q79" s="233" t="n"/>
      <c r="R79" s="233" t="n"/>
      <c r="S79" s="233" t="n"/>
      <c r="T79" s="233" t="n"/>
      <c r="U79" s="233" t="n"/>
      <c r="V79" s="233" t="n"/>
      <c r="W79" s="233" t="n"/>
      <c r="X79" s="233" t="n"/>
      <c r="Y79" s="233" t="n"/>
      <c r="Z79" s="233" t="n"/>
      <c r="AA79" s="233" t="n"/>
      <c r="AB79" s="233" t="n"/>
      <c r="AC79" s="233" t="n"/>
      <c r="AD79" s="233" t="n"/>
      <c r="AE79" s="233" t="n"/>
      <c r="AF79" s="233" t="n"/>
      <c r="AG79" s="233" t="n"/>
      <c r="AH79" s="233" t="n"/>
      <c r="AI79" s="233" t="n"/>
      <c r="AJ79" s="233" t="n"/>
      <c r="AK79" s="233" t="n"/>
      <c r="AL79" s="233" t="n"/>
      <c r="AM79" s="233" t="n"/>
      <c r="AN79" s="233" t="n"/>
      <c r="AO79" s="233" t="n"/>
      <c r="AP79" s="233" t="n"/>
      <c r="AQ79" s="233" t="n"/>
      <c r="AR79" s="233" t="n"/>
    </row>
    <row r="80">
      <c r="A80" s="233" t="n"/>
      <c r="B80" s="233" t="n"/>
      <c r="C80" s="233" t="n"/>
      <c r="D80" s="233" t="n"/>
      <c r="E80" s="233" t="n"/>
      <c r="F80" s="233" t="n"/>
      <c r="G80" s="233" t="n"/>
      <c r="H80" s="233" t="n"/>
      <c r="I80" s="233" t="n"/>
      <c r="J80" s="233" t="n"/>
      <c r="K80" s="233" t="n"/>
      <c r="L80" s="233" t="n"/>
      <c r="M80" s="233" t="n"/>
      <c r="N80" s="233" t="n"/>
      <c r="O80" s="233" t="n"/>
      <c r="P80" s="233" t="n"/>
      <c r="Q80" s="233" t="n"/>
      <c r="R80" s="233" t="n"/>
      <c r="S80" s="233" t="n"/>
      <c r="T80" s="233" t="n"/>
      <c r="U80" s="233" t="n"/>
      <c r="V80" s="233" t="n"/>
      <c r="W80" s="233" t="n"/>
      <c r="X80" s="233" t="n"/>
      <c r="Y80" s="233" t="n"/>
      <c r="Z80" s="233" t="n"/>
      <c r="AA80" s="233" t="n"/>
      <c r="AB80" s="233" t="n"/>
      <c r="AC80" s="233" t="n"/>
      <c r="AD80" s="233" t="n"/>
      <c r="AE80" s="233" t="n"/>
      <c r="AF80" s="233" t="n"/>
      <c r="AG80" s="233" t="n"/>
      <c r="AH80" s="233" t="n"/>
      <c r="AI80" s="233" t="n"/>
      <c r="AJ80" s="233" t="n"/>
      <c r="AK80" s="233" t="n"/>
      <c r="AL80" s="233" t="n"/>
      <c r="AM80" s="233" t="n"/>
      <c r="AN80" s="233" t="n"/>
      <c r="AO80" s="233" t="n"/>
      <c r="AP80" s="233" t="n"/>
      <c r="AQ80" s="233" t="n"/>
      <c r="AR80" s="233" t="n"/>
    </row>
    <row r="81">
      <c r="A81" s="233" t="n"/>
      <c r="B81" s="233" t="n"/>
      <c r="C81" s="233" t="n"/>
      <c r="D81" s="233" t="n"/>
      <c r="E81" s="233" t="n"/>
      <c r="F81" s="233" t="n"/>
      <c r="G81" s="233" t="n"/>
      <c r="H81" s="233" t="n"/>
      <c r="I81" s="233" t="n"/>
      <c r="J81" s="233" t="n"/>
      <c r="K81" s="233" t="n"/>
      <c r="L81" s="233" t="n"/>
      <c r="M81" s="233" t="n"/>
      <c r="N81" s="233" t="n"/>
      <c r="O81" s="233" t="n"/>
      <c r="P81" s="233" t="n"/>
      <c r="Q81" s="233" t="n"/>
      <c r="R81" s="233" t="n"/>
      <c r="S81" s="233" t="n"/>
      <c r="T81" s="233" t="n"/>
      <c r="U81" s="233" t="n"/>
      <c r="V81" s="233" t="n"/>
      <c r="W81" s="233" t="n"/>
      <c r="X81" s="233" t="n"/>
      <c r="Y81" s="233" t="n"/>
      <c r="Z81" s="233" t="n"/>
      <c r="AA81" s="233" t="n"/>
      <c r="AB81" s="233" t="n"/>
      <c r="AC81" s="233" t="n"/>
      <c r="AD81" s="233" t="n"/>
      <c r="AE81" s="233" t="n"/>
      <c r="AF81" s="233" t="n"/>
      <c r="AG81" s="233" t="n"/>
      <c r="AH81" s="233" t="n"/>
      <c r="AI81" s="233" t="n"/>
      <c r="AJ81" s="233" t="n"/>
      <c r="AK81" s="233" t="n"/>
      <c r="AL81" s="233" t="n"/>
      <c r="AM81" s="233" t="n"/>
      <c r="AN81" s="233" t="n"/>
      <c r="AO81" s="233" t="n"/>
      <c r="AP81" s="233" t="n"/>
      <c r="AQ81" s="233" t="n"/>
      <c r="AR81" s="233" t="n"/>
    </row>
    <row r="82">
      <c r="A82" s="233" t="n"/>
      <c r="B82" s="233" t="n"/>
      <c r="C82" s="233" t="n"/>
      <c r="D82" s="233" t="n"/>
      <c r="E82" s="233" t="n"/>
      <c r="F82" s="233" t="n"/>
      <c r="G82" s="233" t="n"/>
      <c r="H82" s="233" t="n"/>
      <c r="I82" s="233" t="n"/>
      <c r="J82" s="233" t="n"/>
      <c r="K82" s="233" t="n"/>
      <c r="L82" s="233" t="n"/>
      <c r="M82" s="233" t="n"/>
      <c r="N82" s="233" t="n"/>
      <c r="O82" s="233" t="n"/>
      <c r="P82" s="233" t="n"/>
      <c r="Q82" s="233" t="n"/>
      <c r="R82" s="233" t="n"/>
      <c r="S82" s="233" t="n"/>
      <c r="T82" s="233" t="n"/>
      <c r="U82" s="233" t="n"/>
      <c r="V82" s="233" t="n"/>
      <c r="W82" s="233" t="n"/>
      <c r="X82" s="233" t="n"/>
      <c r="Y82" s="233" t="n"/>
      <c r="Z82" s="233" t="n"/>
      <c r="AA82" s="233" t="n"/>
      <c r="AB82" s="233" t="n"/>
      <c r="AC82" s="233" t="n"/>
      <c r="AD82" s="233" t="n"/>
      <c r="AE82" s="233" t="n"/>
      <c r="AF82" s="233" t="n"/>
      <c r="AG82" s="233" t="n"/>
      <c r="AH82" s="233" t="n"/>
      <c r="AI82" s="233" t="n"/>
      <c r="AJ82" s="233" t="n"/>
      <c r="AK82" s="233" t="n"/>
      <c r="AL82" s="233" t="n"/>
      <c r="AM82" s="233" t="n"/>
      <c r="AN82" s="233" t="n"/>
      <c r="AO82" s="233" t="n"/>
      <c r="AP82" s="233" t="n"/>
      <c r="AQ82" s="233" t="n"/>
      <c r="AR82" s="233" t="n"/>
    </row>
    <row r="83">
      <c r="A83" s="233" t="n"/>
      <c r="B83" s="233" t="n"/>
      <c r="C83" s="233" t="n"/>
      <c r="D83" s="233" t="n"/>
      <c r="E83" s="233" t="n"/>
      <c r="F83" s="233" t="n"/>
      <c r="G83" s="233" t="n"/>
      <c r="H83" s="233" t="n"/>
      <c r="I83" s="233" t="n"/>
      <c r="J83" s="233" t="n"/>
      <c r="K83" s="233" t="n"/>
      <c r="L83" s="233" t="n"/>
      <c r="M83" s="233" t="n"/>
      <c r="N83" s="233" t="n"/>
      <c r="O83" s="233" t="n"/>
      <c r="P83" s="233" t="n"/>
      <c r="Q83" s="233" t="n"/>
      <c r="R83" s="233" t="n"/>
      <c r="S83" s="233" t="n"/>
      <c r="T83" s="233" t="n"/>
      <c r="U83" s="233" t="n"/>
      <c r="V83" s="233" t="n"/>
      <c r="W83" s="233" t="n"/>
      <c r="X83" s="233" t="n"/>
      <c r="Y83" s="233" t="n"/>
      <c r="Z83" s="233" t="n"/>
      <c r="AA83" s="233" t="n"/>
      <c r="AB83" s="233" t="n"/>
      <c r="AC83" s="233" t="n"/>
      <c r="AD83" s="233" t="n"/>
      <c r="AE83" s="233" t="n"/>
      <c r="AF83" s="233" t="n"/>
      <c r="AG83" s="233" t="n"/>
      <c r="AH83" s="233" t="n"/>
      <c r="AI83" s="233" t="n"/>
      <c r="AJ83" s="233" t="n"/>
      <c r="AK83" s="233" t="n"/>
      <c r="AL83" s="233" t="n"/>
      <c r="AM83" s="233" t="n"/>
      <c r="AN83" s="233" t="n"/>
      <c r="AO83" s="233" t="n"/>
      <c r="AP83" s="233" t="n"/>
      <c r="AQ83" s="233" t="n"/>
      <c r="AR83" s="233" t="n"/>
    </row>
    <row r="84">
      <c r="A84" s="233" t="n"/>
      <c r="B84" s="233" t="n"/>
      <c r="C84" s="233" t="n"/>
      <c r="D84" s="233" t="n"/>
      <c r="E84" s="233" t="n"/>
      <c r="F84" s="233" t="n"/>
      <c r="G84" s="233" t="n"/>
      <c r="H84" s="233" t="n"/>
      <c r="I84" s="233" t="n"/>
      <c r="J84" s="233" t="n"/>
      <c r="K84" s="233" t="n"/>
      <c r="L84" s="233" t="n"/>
      <c r="M84" s="233" t="n"/>
      <c r="N84" s="233" t="n"/>
      <c r="O84" s="233" t="n"/>
      <c r="P84" s="233" t="n"/>
      <c r="Q84" s="233" t="n"/>
      <c r="R84" s="233" t="n"/>
      <c r="S84" s="233" t="n"/>
      <c r="T84" s="233" t="n"/>
      <c r="U84" s="233" t="n"/>
      <c r="V84" s="233" t="n"/>
      <c r="W84" s="233" t="n"/>
      <c r="X84" s="233" t="n"/>
      <c r="Y84" s="233" t="n"/>
      <c r="Z84" s="233" t="n"/>
      <c r="AA84" s="233" t="n"/>
      <c r="AB84" s="233" t="n"/>
      <c r="AC84" s="233" t="n"/>
      <c r="AD84" s="233" t="n"/>
      <c r="AE84" s="233" t="n"/>
      <c r="AF84" s="233" t="n"/>
      <c r="AG84" s="233" t="n"/>
      <c r="AH84" s="233" t="n"/>
      <c r="AI84" s="233" t="n"/>
      <c r="AJ84" s="233" t="n"/>
      <c r="AK84" s="233" t="n"/>
      <c r="AL84" s="233" t="n"/>
      <c r="AM84" s="233" t="n"/>
      <c r="AN84" s="233" t="n"/>
      <c r="AO84" s="233" t="n"/>
      <c r="AP84" s="233" t="n"/>
      <c r="AQ84" s="233" t="n"/>
      <c r="AR84" s="233" t="n"/>
    </row>
    <row r="85">
      <c r="A85" s="233" t="n"/>
      <c r="B85" s="233" t="n"/>
      <c r="C85" s="233" t="n"/>
      <c r="D85" s="233" t="n"/>
      <c r="E85" s="233" t="n"/>
      <c r="F85" s="233" t="n"/>
      <c r="G85" s="233" t="n"/>
      <c r="H85" s="233" t="n"/>
      <c r="I85" s="233" t="n"/>
      <c r="J85" s="233" t="n"/>
      <c r="K85" s="233" t="n"/>
      <c r="L85" s="233" t="n"/>
      <c r="M85" s="233" t="n"/>
      <c r="N85" s="233" t="n"/>
      <c r="O85" s="233" t="n"/>
      <c r="P85" s="233" t="n"/>
      <c r="Q85" s="233" t="n"/>
      <c r="R85" s="233" t="n"/>
      <c r="S85" s="233" t="n"/>
      <c r="T85" s="233" t="n"/>
      <c r="U85" s="233" t="n"/>
      <c r="V85" s="233" t="n"/>
      <c r="W85" s="233" t="n"/>
      <c r="X85" s="233" t="n"/>
      <c r="Y85" s="233" t="n"/>
      <c r="Z85" s="233" t="n"/>
      <c r="AA85" s="233" t="n"/>
      <c r="AB85" s="233" t="n"/>
      <c r="AC85" s="233" t="n"/>
      <c r="AD85" s="233" t="n"/>
      <c r="AE85" s="233" t="n"/>
      <c r="AF85" s="233" t="n"/>
      <c r="AG85" s="233" t="n"/>
      <c r="AH85" s="233" t="n"/>
      <c r="AI85" s="233" t="n"/>
      <c r="AJ85" s="233" t="n"/>
      <c r="AK85" s="233" t="n"/>
      <c r="AL85" s="233" t="n"/>
      <c r="AM85" s="233" t="n"/>
      <c r="AN85" s="233" t="n"/>
      <c r="AO85" s="233" t="n"/>
      <c r="AP85" s="233" t="n"/>
      <c r="AQ85" s="233" t="n"/>
      <c r="AR85" s="233" t="n"/>
    </row>
    <row r="86">
      <c r="A86" s="233" t="n"/>
      <c r="B86" s="233" t="n"/>
      <c r="C86" s="233" t="n"/>
      <c r="D86" s="233" t="n"/>
      <c r="E86" s="233" t="n"/>
      <c r="F86" s="233" t="n"/>
      <c r="G86" s="233" t="n"/>
      <c r="H86" s="233" t="n"/>
      <c r="I86" s="233" t="n"/>
      <c r="J86" s="233" t="n"/>
      <c r="K86" s="233" t="n"/>
      <c r="L86" s="233" t="n"/>
      <c r="M86" s="233" t="n"/>
      <c r="N86" s="233" t="n"/>
      <c r="O86" s="233" t="n"/>
      <c r="P86" s="233" t="n"/>
      <c r="Q86" s="233" t="n"/>
      <c r="R86" s="233" t="n"/>
      <c r="S86" s="233" t="n"/>
      <c r="T86" s="233" t="n"/>
      <c r="U86" s="233" t="n"/>
      <c r="V86" s="233" t="n"/>
      <c r="W86" s="233" t="n"/>
      <c r="X86" s="233" t="n"/>
      <c r="Y86" s="233" t="n"/>
      <c r="Z86" s="233" t="n"/>
      <c r="AA86" s="233" t="n"/>
      <c r="AB86" s="233" t="n"/>
      <c r="AC86" s="233" t="n"/>
      <c r="AD86" s="233" t="n"/>
      <c r="AE86" s="233" t="n"/>
      <c r="AF86" s="233" t="n"/>
      <c r="AG86" s="233" t="n"/>
      <c r="AH86" s="233" t="n"/>
      <c r="AI86" s="233" t="n"/>
      <c r="AJ86" s="233" t="n"/>
      <c r="AK86" s="233" t="n"/>
      <c r="AL86" s="233" t="n"/>
      <c r="AM86" s="233" t="n"/>
      <c r="AN86" s="233" t="n"/>
      <c r="AO86" s="233" t="n"/>
      <c r="AP86" s="233" t="n"/>
      <c r="AQ86" s="233" t="n"/>
      <c r="AR86" s="233" t="n"/>
    </row>
    <row r="87">
      <c r="A87" s="233" t="n"/>
      <c r="B87" s="233" t="n"/>
      <c r="C87" s="233" t="n"/>
      <c r="D87" s="233" t="n"/>
      <c r="E87" s="233" t="n"/>
      <c r="F87" s="233" t="n"/>
      <c r="G87" s="233" t="n"/>
      <c r="H87" s="233" t="n"/>
      <c r="I87" s="233" t="n"/>
      <c r="J87" s="233" t="n"/>
      <c r="K87" s="233" t="n"/>
      <c r="L87" s="233" t="n"/>
      <c r="M87" s="233" t="n"/>
      <c r="N87" s="233" t="n"/>
      <c r="O87" s="233" t="n"/>
      <c r="P87" s="233" t="n"/>
      <c r="Q87" s="233" t="n"/>
      <c r="R87" s="233" t="n"/>
      <c r="S87" s="233" t="n"/>
      <c r="T87" s="233" t="n"/>
      <c r="U87" s="233" t="n"/>
      <c r="V87" s="233" t="n"/>
      <c r="W87" s="233" t="n"/>
      <c r="X87" s="233" t="n"/>
      <c r="Y87" s="233" t="n"/>
      <c r="Z87" s="233" t="n"/>
      <c r="AA87" s="233" t="n"/>
      <c r="AB87" s="233" t="n"/>
      <c r="AC87" s="233" t="n"/>
      <c r="AD87" s="233" t="n"/>
      <c r="AE87" s="233" t="n"/>
      <c r="AF87" s="233" t="n"/>
      <c r="AG87" s="233" t="n"/>
      <c r="AH87" s="233" t="n"/>
      <c r="AI87" s="233" t="n"/>
      <c r="AJ87" s="233" t="n"/>
      <c r="AK87" s="233" t="n"/>
      <c r="AL87" s="233" t="n"/>
      <c r="AM87" s="233" t="n"/>
      <c r="AN87" s="233" t="n"/>
      <c r="AO87" s="233" t="n"/>
      <c r="AP87" s="233" t="n"/>
      <c r="AQ87" s="233" t="n"/>
      <c r="AR87" s="233" t="n"/>
    </row>
    <row r="88">
      <c r="A88" s="233" t="n"/>
      <c r="B88" s="233" t="n"/>
      <c r="C88" s="233" t="n"/>
      <c r="D88" s="233" t="n"/>
      <c r="E88" s="233" t="n"/>
      <c r="F88" s="233" t="n"/>
      <c r="G88" s="233" t="n"/>
      <c r="H88" s="233" t="n"/>
      <c r="I88" s="233" t="n"/>
      <c r="J88" s="233" t="n"/>
      <c r="K88" s="233" t="n"/>
      <c r="L88" s="233" t="n"/>
      <c r="M88" s="233" t="n"/>
      <c r="N88" s="233" t="n"/>
      <c r="O88" s="233" t="n"/>
      <c r="P88" s="233" t="n"/>
      <c r="Q88" s="233" t="n"/>
      <c r="R88" s="233" t="n"/>
      <c r="S88" s="233" t="n"/>
      <c r="T88" s="233" t="n"/>
      <c r="U88" s="233" t="n"/>
      <c r="V88" s="233" t="n"/>
      <c r="W88" s="233" t="n"/>
      <c r="X88" s="233" t="n"/>
      <c r="Y88" s="233" t="n"/>
      <c r="Z88" s="233" t="n"/>
      <c r="AA88" s="233" t="n"/>
      <c r="AB88" s="233" t="n"/>
      <c r="AC88" s="233" t="n"/>
      <c r="AD88" s="233" t="n"/>
      <c r="AE88" s="233" t="n"/>
      <c r="AF88" s="233" t="n"/>
      <c r="AG88" s="233" t="n"/>
      <c r="AH88" s="233" t="n"/>
      <c r="AI88" s="233" t="n"/>
      <c r="AJ88" s="233" t="n"/>
      <c r="AK88" s="233" t="n"/>
      <c r="AL88" s="233" t="n"/>
      <c r="AM88" s="233" t="n"/>
      <c r="AN88" s="233" t="n"/>
      <c r="AO88" s="233" t="n"/>
      <c r="AP88" s="233" t="n"/>
      <c r="AQ88" s="233" t="n"/>
      <c r="AR88" s="233" t="n"/>
    </row>
    <row r="89">
      <c r="A89" s="233" t="n"/>
      <c r="B89" s="233" t="n"/>
      <c r="C89" s="233" t="n"/>
      <c r="D89" s="233" t="n"/>
      <c r="E89" s="233" t="n"/>
      <c r="F89" s="233" t="n"/>
      <c r="G89" s="233" t="n"/>
      <c r="H89" s="233" t="n"/>
      <c r="I89" s="233" t="n"/>
      <c r="J89" s="233" t="n"/>
      <c r="K89" s="233" t="n"/>
      <c r="L89" s="233" t="n"/>
      <c r="M89" s="233" t="n"/>
      <c r="N89" s="233" t="n"/>
      <c r="O89" s="233" t="n"/>
      <c r="P89" s="233" t="n"/>
      <c r="Q89" s="233" t="n"/>
      <c r="R89" s="233" t="n"/>
      <c r="S89" s="233" t="n"/>
      <c r="T89" s="233" t="n"/>
      <c r="U89" s="233" t="n"/>
      <c r="V89" s="233" t="n"/>
      <c r="W89" s="233" t="n"/>
      <c r="X89" s="233" t="n"/>
      <c r="Y89" s="233" t="n"/>
      <c r="Z89" s="233" t="n"/>
      <c r="AA89" s="233" t="n"/>
      <c r="AB89" s="233" t="n"/>
      <c r="AC89" s="233" t="n"/>
      <c r="AD89" s="233" t="n"/>
      <c r="AE89" s="233" t="n"/>
      <c r="AF89" s="233" t="n"/>
      <c r="AG89" s="233" t="n"/>
      <c r="AH89" s="233" t="n"/>
      <c r="AI89" s="233" t="n"/>
      <c r="AJ89" s="233" t="n"/>
      <c r="AK89" s="233" t="n"/>
      <c r="AL89" s="233" t="n"/>
      <c r="AM89" s="233" t="n"/>
      <c r="AN89" s="233" t="n"/>
      <c r="AO89" s="233" t="n"/>
      <c r="AP89" s="233" t="n"/>
      <c r="AQ89" s="233" t="n"/>
      <c r="AR89" s="233" t="n"/>
    </row>
    <row r="90">
      <c r="A90" s="233" t="n"/>
      <c r="B90" s="233" t="n"/>
      <c r="C90" s="233" t="n"/>
      <c r="D90" s="233" t="n"/>
      <c r="E90" s="233" t="n"/>
      <c r="F90" s="233" t="n"/>
      <c r="G90" s="233" t="n"/>
      <c r="H90" s="233" t="n"/>
      <c r="I90" s="233" t="n"/>
      <c r="J90" s="233" t="n"/>
      <c r="K90" s="233" t="n"/>
      <c r="L90" s="233" t="n"/>
      <c r="M90" s="233" t="n"/>
      <c r="N90" s="233" t="n"/>
      <c r="O90" s="233" t="n"/>
      <c r="P90" s="233" t="n"/>
      <c r="Q90" s="233" t="n"/>
      <c r="R90" s="233" t="n"/>
      <c r="S90" s="233" t="n"/>
      <c r="T90" s="233" t="n"/>
      <c r="U90" s="233" t="n"/>
      <c r="V90" s="233" t="n"/>
      <c r="W90" s="233" t="n"/>
      <c r="X90" s="233" t="n"/>
      <c r="Y90" s="233" t="n"/>
      <c r="Z90" s="233" t="n"/>
      <c r="AA90" s="233" t="n"/>
      <c r="AB90" s="233" t="n"/>
      <c r="AC90" s="233" t="n"/>
      <c r="AD90" s="233" t="n"/>
      <c r="AE90" s="233" t="n"/>
      <c r="AF90" s="233" t="n"/>
      <c r="AG90" s="233" t="n"/>
      <c r="AH90" s="233" t="n"/>
      <c r="AI90" s="233" t="n"/>
      <c r="AJ90" s="233" t="n"/>
      <c r="AK90" s="233" t="n"/>
      <c r="AL90" s="233" t="n"/>
      <c r="AM90" s="233" t="n"/>
      <c r="AN90" s="233" t="n"/>
      <c r="AO90" s="233" t="n"/>
      <c r="AP90" s="233" t="n"/>
      <c r="AQ90" s="233" t="n"/>
      <c r="AR90" s="233" t="n"/>
    </row>
  </sheetData>
  <mergeCells count="10">
    <mergeCell ref="B8:H8"/>
    <mergeCell ref="A3:H3"/>
    <mergeCell ref="B9:H9"/>
    <mergeCell ref="B4:H4"/>
    <mergeCell ref="B6:H6"/>
    <mergeCell ref="B7:H7"/>
    <mergeCell ref="A1:H1"/>
    <mergeCell ref="B10:H10"/>
    <mergeCell ref="A1:B1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cols>
    <col width="8" customWidth="1" style="28" min="1" max="1"/>
    <col width="8" customWidth="1" style="28" min="2" max="2"/>
    <col width="30" customWidth="1" style="28" min="3" max="3"/>
    <col width="7" customWidth="1" style="28" min="4" max="4"/>
    <col width="7" customWidth="1" style="28" min="5" max="5"/>
    <col width="7" customWidth="1" style="28" min="6" max="6"/>
    <col width="7" customWidth="1" style="28" min="7" max="7"/>
    <col width="7" customWidth="1" style="28" min="8" max="8"/>
    <col width="7" customWidth="1" style="28" min="9" max="9"/>
    <col width="7" customWidth="1" style="28" min="10" max="10"/>
    <col width="7" customWidth="1" style="28" min="11" max="11"/>
    <col width="12" customWidth="1" style="28" min="12" max="12"/>
    <col width="10" customWidth="1" style="28" min="13" max="13"/>
    <col width="22" customWidth="1" style="28" min="14" max="14"/>
    <col width="30" customWidth="1" style="28" min="15" max="15"/>
  </cols>
  <sheetData>
    <row r="1" ht="19" customHeight="1" s="28">
      <c r="A1" s="397" t="inlineStr">
        <is>
          <t>Group Stage Tracker - formula driven from Match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30" t="n"/>
      <c r="P1" s="30" t="n"/>
      <c r="Q1" s="30" t="n"/>
      <c r="R1" s="30" t="n"/>
      <c r="S1" s="30" t="n"/>
      <c r="T1" s="30" t="n"/>
      <c r="U1" s="30" t="n"/>
      <c r="V1" s="30" t="n"/>
      <c r="W1" s="233" t="n"/>
      <c r="X1" s="233" t="n"/>
      <c r="Y1" s="233" t="n"/>
      <c r="Z1" s="233" t="n"/>
      <c r="AA1" s="233" t="n"/>
      <c r="AB1" s="233" t="n"/>
      <c r="AC1" s="233" t="n"/>
      <c r="AD1" s="233" t="n"/>
      <c r="AE1" s="233" t="n"/>
      <c r="AF1" s="233" t="n"/>
      <c r="AG1" s="233" t="n"/>
      <c r="AH1" s="233" t="n"/>
      <c r="AI1" s="233" t="n"/>
      <c r="AJ1" s="233" t="n"/>
      <c r="AK1" s="233" t="n"/>
      <c r="AL1" s="233" t="n"/>
      <c r="AM1" s="233" t="n"/>
      <c r="AN1" s="233" t="n"/>
      <c r="AO1" s="233" t="n"/>
      <c r="AP1" s="233" t="n"/>
      <c r="AQ1" s="233" t="n"/>
      <c r="AR1" s="233" t="n"/>
    </row>
    <row r="2" ht="19" customHeight="1" s="28">
      <c r="A2" s="394" t="inlineStr">
        <is>
          <t>Edit scores in Match Results. Rankings update automatically. Status remains Pending or In play until all six group matches are final.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33" t="n"/>
      <c r="P2" s="233" t="n"/>
      <c r="Q2" s="233" t="n"/>
      <c r="R2" s="233" t="n"/>
      <c r="S2" s="233" t="n"/>
      <c r="T2" s="233" t="n"/>
      <c r="U2" s="233" t="n"/>
      <c r="V2" s="233" t="n"/>
      <c r="W2" s="233" t="n"/>
      <c r="X2" s="233" t="n"/>
      <c r="Y2" s="233" t="n"/>
      <c r="Z2" s="233" t="n"/>
      <c r="AA2" s="233" t="n"/>
      <c r="AB2" s="233" t="n"/>
      <c r="AC2" s="233" t="n"/>
      <c r="AD2" s="233" t="n"/>
      <c r="AE2" s="233" t="n"/>
      <c r="AF2" s="233" t="n"/>
      <c r="AG2" s="233" t="n"/>
      <c r="AH2" s="233" t="n"/>
      <c r="AI2" s="233" t="n"/>
      <c r="AJ2" s="233" t="n"/>
      <c r="AK2" s="233" t="n"/>
      <c r="AL2" s="233" t="n"/>
      <c r="AM2" s="233" t="n"/>
      <c r="AN2" s="233" t="n"/>
      <c r="AO2" s="233" t="n"/>
      <c r="AP2" s="233" t="n"/>
      <c r="AQ2" s="233" t="n"/>
      <c r="AR2" s="233" t="n"/>
    </row>
    <row r="3" ht="19" customHeight="1" s="28">
      <c r="A3" s="264" t="inlineStr">
        <is>
          <t>Group</t>
        </is>
      </c>
      <c r="B3" s="264" t="inlineStr">
        <is>
          <t>Seed</t>
        </is>
      </c>
      <c r="C3" s="264" t="inlineStr">
        <is>
          <t>Team</t>
        </is>
      </c>
      <c r="D3" s="264" t="inlineStr">
        <is>
          <t>W</t>
        </is>
      </c>
      <c r="E3" s="264" t="inlineStr">
        <is>
          <t>D</t>
        </is>
      </c>
      <c r="F3" s="264" t="inlineStr">
        <is>
          <t>L</t>
        </is>
      </c>
      <c r="G3" s="264" t="inlineStr">
        <is>
          <t>GF</t>
        </is>
      </c>
      <c r="H3" s="264" t="inlineStr">
        <is>
          <t>GA</t>
        </is>
      </c>
      <c r="I3" s="264" t="inlineStr">
        <is>
          <t>MP</t>
        </is>
      </c>
      <c r="J3" s="264" t="inlineStr">
        <is>
          <t>GD</t>
        </is>
      </c>
      <c r="K3" s="264" t="inlineStr">
        <is>
          <t>Pts</t>
        </is>
      </c>
      <c r="L3" s="264" t="inlineStr">
        <is>
          <t>Group Rank</t>
        </is>
      </c>
      <c r="M3" s="264" t="inlineStr">
        <is>
          <t>3rd Rank</t>
        </is>
      </c>
      <c r="N3" s="264" t="inlineStr">
        <is>
          <t>Status</t>
        </is>
      </c>
      <c r="O3" s="398" t="inlineStr">
        <is>
          <t>Team with real flag</t>
        </is>
      </c>
      <c r="P3" s="233" t="n"/>
      <c r="Q3" s="233" t="n"/>
      <c r="R3" s="233" t="n"/>
      <c r="S3" s="233" t="n"/>
      <c r="T3" s="233" t="n"/>
      <c r="U3" s="233" t="n"/>
      <c r="V3" s="233" t="n"/>
      <c r="W3" s="233" t="n"/>
      <c r="X3" s="233" t="n"/>
      <c r="Y3" s="233" t="n"/>
      <c r="Z3" s="233" t="n"/>
      <c r="AA3" s="233" t="n"/>
      <c r="AB3" s="233" t="n"/>
      <c r="AC3" s="233" t="n"/>
      <c r="AD3" s="233" t="n"/>
      <c r="AE3" s="233" t="n"/>
      <c r="AF3" s="233" t="n"/>
      <c r="AG3" s="233" t="n"/>
      <c r="AH3" s="233" t="n"/>
      <c r="AI3" s="233" t="n"/>
      <c r="AJ3" s="233" t="n"/>
      <c r="AK3" s="233" t="n"/>
      <c r="AL3" s="233" t="n"/>
      <c r="AM3" s="233" t="n"/>
      <c r="AN3" s="233" t="n"/>
      <c r="AO3" s="233" t="n"/>
      <c r="AP3" s="233" t="n"/>
      <c r="AQ3" s="233" t="n"/>
      <c r="AR3" s="233" t="n"/>
    </row>
    <row r="4" ht="21" customHeight="1" s="28">
      <c r="A4" t="inlineStr">
        <is>
          <t>A</t>
        </is>
      </c>
      <c r="B4" t="n">
        <v>1</v>
      </c>
      <c r="C4" s="399" t="inlineStr">
        <is>
          <t>Mexico</t>
        </is>
      </c>
      <c r="D4" s="272">
        <f>COUNTIFS('Match Results'!$C$4:$C$75,$A4,'Match Results'!$I$4:$I$75,$C4)</f>
        <v/>
      </c>
      <c r="E4" s="272">
        <f>COUNTIFS('Match Results'!$C$4:$C$75,$A4,'Match Results'!$D$4:$D$75,$C4,'Match Results'!$I$4:$I$75,"Draw")+COUNTIFS('Match Results'!$C$4:$C$75,$A4,'Match Results'!$G$4:$G$75,$C4,'Match Results'!$I$4:$I$75,"Draw")</f>
        <v/>
      </c>
      <c r="F4" s="272">
        <f>I4-D4-E4</f>
        <v/>
      </c>
      <c r="G4" s="272">
        <f>SUMIFS('Match Results'!$E$4:$E$75,'Match Results'!$C$4:$C$75,$A4,'Match Results'!$D$4:$D$75,$C4)+SUMIFS('Match Results'!$F$4:$F$75,'Match Results'!$C$4:$C$75,$A4,'Match Results'!$G$4:$G$75,$C4)</f>
        <v/>
      </c>
      <c r="H4" s="272">
        <f>SUMIFS('Match Results'!$F$4:$F$75,'Match Results'!$C$4:$C$75,$A4,'Match Results'!$D$4:$D$75,$C4)+SUMIFS('Match Results'!$E$4:$E$75,'Match Results'!$C$4:$C$75,$A4,'Match Results'!$G$4:$G$75,$C4)</f>
        <v/>
      </c>
      <c r="I4" s="272">
        <f>COUNTIFS('Match Results'!$C$4:$C$75,$A4,'Match Results'!$D$4:$D$75,$C4,'Match Results'!$H$4:$H$75,"Final")+COUNTIFS('Match Results'!$C$4:$C$75,$A4,'Match Results'!$G$4:$G$75,$C4,'Match Results'!$H$4:$H$75,"Final")</f>
        <v/>
      </c>
      <c r="J4" s="272">
        <f>G4-H4</f>
        <v/>
      </c>
      <c r="K4" s="272">
        <f>D4*3+E4</f>
        <v/>
      </c>
      <c r="L4" s="272">
        <f>1+SUMPRODUCT(($A$4:$A$51=$A4)*(($K$4:$K$51&gt;K4)+(($K$4:$K$51=K4)*($J$4:$J$51&gt;J4))+(($K$4:$K$51=K4)*($J$4:$J$51=J4)*($G$4:$G$51&gt;G4))+(($K$4:$K$51=K4)*($J$4:$J$51=J4)*($G$4:$G$51=G4)*($B$4:$B$51&lt;B4))))</f>
        <v/>
      </c>
      <c r="M4" s="272">
        <f>IF(L4=3,1+SUMPRODUCT(($L$4:$L$51=3)*(($K$4:$K$51&gt;K4)+(($K$4:$K$51=K4)*($J$4:$J$51&gt;J4))+(($K$4:$K$51=K4)*($J$4:$J$51=J4)*($G$4:$G$51&gt;G4))+(($K$4:$K$51=K4)*($J$4:$J$51=J4)*($G$4:$G$51=G4)*(ROW($A$4:$A$51)&lt;ROW(A4))))),"")</f>
        <v/>
      </c>
      <c r="N4" s="272">
        <f>IF(COUNTIFS('Match Results'!$C$4:$C$75,$A4,'Match Results'!$H$4:$H$75,"Final")&lt;6,IF(I4=0,"Pending","In play"),IF(L4&lt;=2,"Qualified",IF(AND(L4=3,M4&lt;=8),"Qualified best 3rd","Eliminated")))</f>
        <v/>
      </c>
      <c r="O4" s="399">
        <f>C4</f>
        <v/>
      </c>
      <c r="P4" s="233" t="n"/>
      <c r="Q4" s="233" t="n"/>
      <c r="R4" s="233" t="n"/>
      <c r="S4" s="233" t="n"/>
      <c r="T4" s="233" t="n"/>
      <c r="U4" s="233" t="n"/>
      <c r="V4" s="233" t="n"/>
      <c r="W4" s="233" t="n"/>
      <c r="X4" s="233" t="n"/>
      <c r="Y4" s="233" t="n"/>
      <c r="Z4" s="233" t="n"/>
      <c r="AA4" s="233" t="n"/>
      <c r="AB4" s="233" t="n"/>
      <c r="AC4" s="233" t="n"/>
      <c r="AD4" s="233" t="n"/>
      <c r="AE4" s="233" t="n"/>
      <c r="AF4" s="233" t="n"/>
      <c r="AG4" s="233" t="n"/>
      <c r="AH4" s="233" t="n"/>
      <c r="AI4" s="233" t="n"/>
      <c r="AJ4" s="233" t="n"/>
      <c r="AK4" s="233" t="n"/>
      <c r="AL4" s="233" t="n"/>
      <c r="AM4" s="233" t="n"/>
      <c r="AN4" s="233" t="n"/>
      <c r="AO4" s="233" t="n"/>
      <c r="AP4" s="233" t="n"/>
      <c r="AQ4" s="233" t="n"/>
      <c r="AR4" s="233" t="n"/>
    </row>
    <row r="5" ht="21" customHeight="1" s="28">
      <c r="A5" t="inlineStr">
        <is>
          <t>A</t>
        </is>
      </c>
      <c r="B5" t="n">
        <v>2</v>
      </c>
      <c r="C5" s="399" t="inlineStr">
        <is>
          <t>South Africa</t>
        </is>
      </c>
      <c r="D5" s="272">
        <f>COUNTIFS('Match Results'!$C$4:$C$75,$A5,'Match Results'!$I$4:$I$75,$C5)</f>
        <v/>
      </c>
      <c r="E5" s="272">
        <f>COUNTIFS('Match Results'!$C$4:$C$75,$A5,'Match Results'!$D$4:$D$75,$C5,'Match Results'!$I$4:$I$75,"Draw")+COUNTIFS('Match Results'!$C$4:$C$75,$A5,'Match Results'!$G$4:$G$75,$C5,'Match Results'!$I$4:$I$75,"Draw")</f>
        <v/>
      </c>
      <c r="F5" s="272">
        <f>I5-D5-E5</f>
        <v/>
      </c>
      <c r="G5" s="272">
        <f>SUMIFS('Match Results'!$E$4:$E$75,'Match Results'!$C$4:$C$75,$A5,'Match Results'!$D$4:$D$75,$C5)+SUMIFS('Match Results'!$F$4:$F$75,'Match Results'!$C$4:$C$75,$A5,'Match Results'!$G$4:$G$75,$C5)</f>
        <v/>
      </c>
      <c r="H5" s="272">
        <f>SUMIFS('Match Results'!$F$4:$F$75,'Match Results'!$C$4:$C$75,$A5,'Match Results'!$D$4:$D$75,$C5)+SUMIFS('Match Results'!$E$4:$E$75,'Match Results'!$C$4:$C$75,$A5,'Match Results'!$G$4:$G$75,$C5)</f>
        <v/>
      </c>
      <c r="I5" s="272">
        <f>COUNTIFS('Match Results'!$C$4:$C$75,$A5,'Match Results'!$D$4:$D$75,$C5,'Match Results'!$H$4:$H$75,"Final")+COUNTIFS('Match Results'!$C$4:$C$75,$A5,'Match Results'!$G$4:$G$75,$C5,'Match Results'!$H$4:$H$75,"Final")</f>
        <v/>
      </c>
      <c r="J5" s="272">
        <f>G5-H5</f>
        <v/>
      </c>
      <c r="K5" s="272">
        <f>D5*3+E5</f>
        <v/>
      </c>
      <c r="L5" s="272">
        <f>1+SUMPRODUCT(($A$4:$A$51=$A5)*(($K$4:$K$51&gt;K5)+(($K$4:$K$51=K5)*($J$4:$J$51&gt;J5))+(($K$4:$K$51=K5)*($J$4:$J$51=J5)*($G$4:$G$51&gt;G5))+(($K$4:$K$51=K5)*($J$4:$J$51=J5)*($G$4:$G$51=G5)*($B$4:$B$51&lt;B5))))</f>
        <v/>
      </c>
      <c r="M5" s="272">
        <f>IF(L5=3,1+SUMPRODUCT(($L$4:$L$51=3)*(($K$4:$K$51&gt;K5)+(($K$4:$K$51=K5)*($J$4:$J$51&gt;J5))+(($K$4:$K$51=K5)*($J$4:$J$51=J5)*($G$4:$G$51&gt;G5))+(($K$4:$K$51=K5)*($J$4:$J$51=J5)*($G$4:$G$51=G5)*(ROW($A$4:$A$51)&lt;ROW(A5))))),"")</f>
        <v/>
      </c>
      <c r="N5" s="272">
        <f>IF(COUNTIFS('Match Results'!$C$4:$C$75,$A5,'Match Results'!$H$4:$H$75,"Final")&lt;6,IF(I5=0,"Pending","In play"),IF(L5&lt;=2,"Qualified",IF(AND(L5=3,M5&lt;=8),"Qualified best 3rd","Eliminated")))</f>
        <v/>
      </c>
      <c r="O5" s="399">
        <f>C5</f>
        <v/>
      </c>
      <c r="P5" s="233" t="n"/>
      <c r="Q5" s="233" t="n"/>
      <c r="R5" s="233" t="n"/>
      <c r="S5" s="233" t="n"/>
      <c r="T5" s="233" t="n"/>
      <c r="U5" s="233" t="n"/>
      <c r="V5" s="233" t="n"/>
      <c r="W5" s="233" t="n"/>
      <c r="X5" s="233" t="n"/>
      <c r="Y5" s="233" t="n"/>
      <c r="Z5" s="233" t="n"/>
      <c r="AA5" s="233" t="n"/>
      <c r="AB5" s="233" t="n"/>
      <c r="AC5" s="233" t="n"/>
      <c r="AD5" s="233" t="n"/>
      <c r="AE5" s="233" t="n"/>
      <c r="AF5" s="233" t="n"/>
      <c r="AG5" s="233" t="n"/>
      <c r="AH5" s="233" t="n"/>
      <c r="AI5" s="233" t="n"/>
      <c r="AJ5" s="233" t="n"/>
      <c r="AK5" s="233" t="n"/>
      <c r="AL5" s="233" t="n"/>
      <c r="AM5" s="233" t="n"/>
      <c r="AN5" s="233" t="n"/>
      <c r="AO5" s="233" t="n"/>
      <c r="AP5" s="233" t="n"/>
      <c r="AQ5" s="233" t="n"/>
      <c r="AR5" s="233" t="n"/>
    </row>
    <row r="6" ht="21" customHeight="1" s="28">
      <c r="A6" t="inlineStr">
        <is>
          <t>A</t>
        </is>
      </c>
      <c r="B6" t="n">
        <v>3</v>
      </c>
      <c r="C6" s="399" t="inlineStr">
        <is>
          <t>Korea Republic</t>
        </is>
      </c>
      <c r="D6" s="272">
        <f>COUNTIFS('Match Results'!$C$4:$C$75,$A6,'Match Results'!$I$4:$I$75,$C6)</f>
        <v/>
      </c>
      <c r="E6" s="272">
        <f>COUNTIFS('Match Results'!$C$4:$C$75,$A6,'Match Results'!$D$4:$D$75,$C6,'Match Results'!$I$4:$I$75,"Draw")+COUNTIFS('Match Results'!$C$4:$C$75,$A6,'Match Results'!$G$4:$G$75,$C6,'Match Results'!$I$4:$I$75,"Draw")</f>
        <v/>
      </c>
      <c r="F6" s="272">
        <f>I6-D6-E6</f>
        <v/>
      </c>
      <c r="G6" s="272">
        <f>SUMIFS('Match Results'!$E$4:$E$75,'Match Results'!$C$4:$C$75,$A6,'Match Results'!$D$4:$D$75,$C6)+SUMIFS('Match Results'!$F$4:$F$75,'Match Results'!$C$4:$C$75,$A6,'Match Results'!$G$4:$G$75,$C6)</f>
        <v/>
      </c>
      <c r="H6" s="272">
        <f>SUMIFS('Match Results'!$F$4:$F$75,'Match Results'!$C$4:$C$75,$A6,'Match Results'!$D$4:$D$75,$C6)+SUMIFS('Match Results'!$E$4:$E$75,'Match Results'!$C$4:$C$75,$A6,'Match Results'!$G$4:$G$75,$C6)</f>
        <v/>
      </c>
      <c r="I6" s="272">
        <f>COUNTIFS('Match Results'!$C$4:$C$75,$A6,'Match Results'!$D$4:$D$75,$C6,'Match Results'!$H$4:$H$75,"Final")+COUNTIFS('Match Results'!$C$4:$C$75,$A6,'Match Results'!$G$4:$G$75,$C6,'Match Results'!$H$4:$H$75,"Final")</f>
        <v/>
      </c>
      <c r="J6" s="272">
        <f>G6-H6</f>
        <v/>
      </c>
      <c r="K6" s="272">
        <f>D6*3+E6</f>
        <v/>
      </c>
      <c r="L6" s="272">
        <f>1+SUMPRODUCT(($A$4:$A$51=$A6)*(($K$4:$K$51&gt;K6)+(($K$4:$K$51=K6)*($J$4:$J$51&gt;J6))+(($K$4:$K$51=K6)*($J$4:$J$51=J6)*($G$4:$G$51&gt;G6))+(($K$4:$K$51=K6)*($J$4:$J$51=J6)*($G$4:$G$51=G6)*($B$4:$B$51&lt;B6))))</f>
        <v/>
      </c>
      <c r="M6" s="272">
        <f>IF(L6=3,1+SUMPRODUCT(($L$4:$L$51=3)*(($K$4:$K$51&gt;K6)+(($K$4:$K$51=K6)*($J$4:$J$51&gt;J6))+(($K$4:$K$51=K6)*($J$4:$J$51=J6)*($G$4:$G$51&gt;G6))+(($K$4:$K$51=K6)*($J$4:$J$51=J6)*($G$4:$G$51=G6)*(ROW($A$4:$A$51)&lt;ROW(A6))))),"")</f>
        <v/>
      </c>
      <c r="N6" s="272">
        <f>IF(COUNTIFS('Match Results'!$C$4:$C$75,$A6,'Match Results'!$H$4:$H$75,"Final")&lt;6,IF(I6=0,"Pending","In play"),IF(L6&lt;=2,"Qualified",IF(AND(L6=3,M6&lt;=8),"Qualified best 3rd","Eliminated")))</f>
        <v/>
      </c>
      <c r="O6" s="399">
        <f>C6</f>
        <v/>
      </c>
      <c r="P6" s="233" t="n"/>
      <c r="Q6" s="233" t="n"/>
      <c r="R6" s="233" t="n"/>
      <c r="S6" s="233" t="n"/>
      <c r="T6" s="233" t="n"/>
      <c r="U6" s="233" t="n"/>
      <c r="V6" s="233" t="n"/>
      <c r="W6" s="233" t="n"/>
      <c r="X6" s="233" t="n"/>
      <c r="Y6" s="233" t="n"/>
      <c r="Z6" s="233" t="n"/>
      <c r="AA6" s="233" t="n"/>
      <c r="AB6" s="233" t="n"/>
      <c r="AC6" s="233" t="n"/>
      <c r="AD6" s="233" t="n"/>
      <c r="AE6" s="233" t="n"/>
      <c r="AF6" s="233" t="n"/>
      <c r="AG6" s="233" t="n"/>
      <c r="AH6" s="233" t="n"/>
      <c r="AI6" s="233" t="n"/>
      <c r="AJ6" s="233" t="n"/>
      <c r="AK6" s="233" t="n"/>
      <c r="AL6" s="233" t="n"/>
      <c r="AM6" s="233" t="n"/>
      <c r="AN6" s="233" t="n"/>
      <c r="AO6" s="233" t="n"/>
      <c r="AP6" s="233" t="n"/>
      <c r="AQ6" s="233" t="n"/>
      <c r="AR6" s="233" t="n"/>
    </row>
    <row r="7" ht="21" customHeight="1" s="28">
      <c r="A7" t="inlineStr">
        <is>
          <t>A</t>
        </is>
      </c>
      <c r="B7" t="n">
        <v>4</v>
      </c>
      <c r="C7" s="399" t="inlineStr">
        <is>
          <t>Czechia</t>
        </is>
      </c>
      <c r="D7" s="272">
        <f>COUNTIFS('Match Results'!$C$4:$C$75,$A7,'Match Results'!$I$4:$I$75,$C7)</f>
        <v/>
      </c>
      <c r="E7" s="272">
        <f>COUNTIFS('Match Results'!$C$4:$C$75,$A7,'Match Results'!$D$4:$D$75,$C7,'Match Results'!$I$4:$I$75,"Draw")+COUNTIFS('Match Results'!$C$4:$C$75,$A7,'Match Results'!$G$4:$G$75,$C7,'Match Results'!$I$4:$I$75,"Draw")</f>
        <v/>
      </c>
      <c r="F7" s="272">
        <f>I7-D7-E7</f>
        <v/>
      </c>
      <c r="G7" s="272">
        <f>SUMIFS('Match Results'!$E$4:$E$75,'Match Results'!$C$4:$C$75,$A7,'Match Results'!$D$4:$D$75,$C7)+SUMIFS('Match Results'!$F$4:$F$75,'Match Results'!$C$4:$C$75,$A7,'Match Results'!$G$4:$G$75,$C7)</f>
        <v/>
      </c>
      <c r="H7" s="272">
        <f>SUMIFS('Match Results'!$F$4:$F$75,'Match Results'!$C$4:$C$75,$A7,'Match Results'!$D$4:$D$75,$C7)+SUMIFS('Match Results'!$E$4:$E$75,'Match Results'!$C$4:$C$75,$A7,'Match Results'!$G$4:$G$75,$C7)</f>
        <v/>
      </c>
      <c r="I7" s="272">
        <f>COUNTIFS('Match Results'!$C$4:$C$75,$A7,'Match Results'!$D$4:$D$75,$C7,'Match Results'!$H$4:$H$75,"Final")+COUNTIFS('Match Results'!$C$4:$C$75,$A7,'Match Results'!$G$4:$G$75,$C7,'Match Results'!$H$4:$H$75,"Final")</f>
        <v/>
      </c>
      <c r="J7" s="272">
        <f>G7-H7</f>
        <v/>
      </c>
      <c r="K7" s="272">
        <f>D7*3+E7</f>
        <v/>
      </c>
      <c r="L7" s="272">
        <f>1+SUMPRODUCT(($A$4:$A$51=$A7)*(($K$4:$K$51&gt;K7)+(($K$4:$K$51=K7)*($J$4:$J$51&gt;J7))+(($K$4:$K$51=K7)*($J$4:$J$51=J7)*($G$4:$G$51&gt;G7))+(($K$4:$K$51=K7)*($J$4:$J$51=J7)*($G$4:$G$51=G7)*($B$4:$B$51&lt;B7))))</f>
        <v/>
      </c>
      <c r="M7" s="272">
        <f>IF(L7=3,1+SUMPRODUCT(($L$4:$L$51=3)*(($K$4:$K$51&gt;K7)+(($K$4:$K$51=K7)*($J$4:$J$51&gt;J7))+(($K$4:$K$51=K7)*($J$4:$J$51=J7)*($G$4:$G$51&gt;G7))+(($K$4:$K$51=K7)*($J$4:$J$51=J7)*($G$4:$G$51=G7)*(ROW($A$4:$A$51)&lt;ROW(A7))))),"")</f>
        <v/>
      </c>
      <c r="N7" s="272">
        <f>IF(COUNTIFS('Match Results'!$C$4:$C$75,$A7,'Match Results'!$H$4:$H$75,"Final")&lt;6,IF(I7=0,"Pending","In play"),IF(L7&lt;=2,"Qualified",IF(AND(L7=3,M7&lt;=8),"Qualified best 3rd","Eliminated")))</f>
        <v/>
      </c>
      <c r="O7" s="399">
        <f>C7</f>
        <v/>
      </c>
      <c r="P7" s="233" t="n"/>
      <c r="Q7" s="233" t="n"/>
      <c r="R7" s="233" t="n"/>
      <c r="S7" s="233" t="n"/>
      <c r="T7" s="233" t="n"/>
      <c r="U7" s="233" t="n"/>
      <c r="V7" s="233" t="n"/>
      <c r="W7" s="233" t="n"/>
      <c r="X7" s="233" t="n"/>
      <c r="Y7" s="233" t="n"/>
      <c r="Z7" s="233" t="n"/>
      <c r="AA7" s="233" t="n"/>
      <c r="AB7" s="233" t="n"/>
      <c r="AC7" s="233" t="n"/>
      <c r="AD7" s="233" t="n"/>
      <c r="AE7" s="233" t="n"/>
      <c r="AF7" s="233" t="n"/>
      <c r="AG7" s="233" t="n"/>
      <c r="AH7" s="233" t="n"/>
      <c r="AI7" s="233" t="n"/>
      <c r="AJ7" s="233" t="n"/>
      <c r="AK7" s="233" t="n"/>
      <c r="AL7" s="233" t="n"/>
      <c r="AM7" s="233" t="n"/>
      <c r="AN7" s="233" t="n"/>
      <c r="AO7" s="233" t="n"/>
      <c r="AP7" s="233" t="n"/>
      <c r="AQ7" s="233" t="n"/>
      <c r="AR7" s="233" t="n"/>
    </row>
    <row r="8" ht="21" customHeight="1" s="28">
      <c r="A8" t="inlineStr">
        <is>
          <t>B</t>
        </is>
      </c>
      <c r="B8" t="n">
        <v>1</v>
      </c>
      <c r="C8" s="399" t="inlineStr">
        <is>
          <t>Canada</t>
        </is>
      </c>
      <c r="D8" s="272">
        <f>COUNTIFS('Match Results'!$C$4:$C$75,$A8,'Match Results'!$I$4:$I$75,$C8)</f>
        <v/>
      </c>
      <c r="E8" s="272">
        <f>COUNTIFS('Match Results'!$C$4:$C$75,$A8,'Match Results'!$D$4:$D$75,$C8,'Match Results'!$I$4:$I$75,"Draw")+COUNTIFS('Match Results'!$C$4:$C$75,$A8,'Match Results'!$G$4:$G$75,$C8,'Match Results'!$I$4:$I$75,"Draw")</f>
        <v/>
      </c>
      <c r="F8" s="272">
        <f>I8-D8-E8</f>
        <v/>
      </c>
      <c r="G8" s="272">
        <f>SUMIFS('Match Results'!$E$4:$E$75,'Match Results'!$C$4:$C$75,$A8,'Match Results'!$D$4:$D$75,$C8)+SUMIFS('Match Results'!$F$4:$F$75,'Match Results'!$C$4:$C$75,$A8,'Match Results'!$G$4:$G$75,$C8)</f>
        <v/>
      </c>
      <c r="H8" s="272">
        <f>SUMIFS('Match Results'!$F$4:$F$75,'Match Results'!$C$4:$C$75,$A8,'Match Results'!$D$4:$D$75,$C8)+SUMIFS('Match Results'!$E$4:$E$75,'Match Results'!$C$4:$C$75,$A8,'Match Results'!$G$4:$G$75,$C8)</f>
        <v/>
      </c>
      <c r="I8" s="272">
        <f>COUNTIFS('Match Results'!$C$4:$C$75,$A8,'Match Results'!$D$4:$D$75,$C8,'Match Results'!$H$4:$H$75,"Final")+COUNTIFS('Match Results'!$C$4:$C$75,$A8,'Match Results'!$G$4:$G$75,$C8,'Match Results'!$H$4:$H$75,"Final")</f>
        <v/>
      </c>
      <c r="J8" s="272">
        <f>G8-H8</f>
        <v/>
      </c>
      <c r="K8" s="272">
        <f>D8*3+E8</f>
        <v/>
      </c>
      <c r="L8" s="272">
        <f>1+SUMPRODUCT(($A$4:$A$51=$A8)*(($K$4:$K$51&gt;K8)+(($K$4:$K$51=K8)*($J$4:$J$51&gt;J8))+(($K$4:$K$51=K8)*($J$4:$J$51=J8)*($G$4:$G$51&gt;G8))+(($K$4:$K$51=K8)*($J$4:$J$51=J8)*($G$4:$G$51=G8)*($B$4:$B$51&lt;B8))))</f>
        <v/>
      </c>
      <c r="M8" s="272">
        <f>IF(L8=3,1+SUMPRODUCT(($L$4:$L$51=3)*(($K$4:$K$51&gt;K8)+(($K$4:$K$51=K8)*($J$4:$J$51&gt;J8))+(($K$4:$K$51=K8)*($J$4:$J$51=J8)*($G$4:$G$51&gt;G8))+(($K$4:$K$51=K8)*($J$4:$J$51=J8)*($G$4:$G$51=G8)*(ROW($A$4:$A$51)&lt;ROW(A8))))),"")</f>
        <v/>
      </c>
      <c r="N8" s="272">
        <f>IF(COUNTIFS('Match Results'!$C$4:$C$75,$A8,'Match Results'!$H$4:$H$75,"Final")&lt;6,IF(I8=0,"Pending","In play"),IF(L8&lt;=2,"Qualified",IF(AND(L8=3,M8&lt;=8),"Qualified best 3rd","Eliminated")))</f>
        <v/>
      </c>
      <c r="O8" s="399">
        <f>C8</f>
        <v/>
      </c>
      <c r="P8" s="233" t="n"/>
      <c r="Q8" s="233" t="n"/>
      <c r="R8" s="233" t="n"/>
      <c r="S8" s="233" t="n"/>
      <c r="T8" s="233" t="n"/>
      <c r="U8" s="233" t="n"/>
      <c r="V8" s="233" t="n"/>
      <c r="W8" s="233" t="n"/>
      <c r="X8" s="233" t="n"/>
      <c r="Y8" s="233" t="n"/>
      <c r="Z8" s="233" t="n"/>
      <c r="AA8" s="233" t="n"/>
      <c r="AB8" s="233" t="n"/>
      <c r="AC8" s="233" t="n"/>
      <c r="AD8" s="233" t="n"/>
      <c r="AE8" s="233" t="n"/>
      <c r="AF8" s="233" t="n"/>
      <c r="AG8" s="233" t="n"/>
      <c r="AH8" s="233" t="n"/>
      <c r="AI8" s="233" t="n"/>
      <c r="AJ8" s="233" t="n"/>
      <c r="AK8" s="233" t="n"/>
      <c r="AL8" s="233" t="n"/>
      <c r="AM8" s="233" t="n"/>
      <c r="AN8" s="233" t="n"/>
      <c r="AO8" s="233" t="n"/>
      <c r="AP8" s="233" t="n"/>
      <c r="AQ8" s="233" t="n"/>
      <c r="AR8" s="233" t="n"/>
    </row>
    <row r="9" ht="21" customHeight="1" s="28">
      <c r="A9" t="inlineStr">
        <is>
          <t>B</t>
        </is>
      </c>
      <c r="B9" t="n">
        <v>2</v>
      </c>
      <c r="C9" s="399" t="inlineStr">
        <is>
          <t>Bosnia and Herzegovina</t>
        </is>
      </c>
      <c r="D9" s="272">
        <f>COUNTIFS('Match Results'!$C$4:$C$75,$A9,'Match Results'!$I$4:$I$75,$C9)</f>
        <v/>
      </c>
      <c r="E9" s="272">
        <f>COUNTIFS('Match Results'!$C$4:$C$75,$A9,'Match Results'!$D$4:$D$75,$C9,'Match Results'!$I$4:$I$75,"Draw")+COUNTIFS('Match Results'!$C$4:$C$75,$A9,'Match Results'!$G$4:$G$75,$C9,'Match Results'!$I$4:$I$75,"Draw")</f>
        <v/>
      </c>
      <c r="F9" s="272">
        <f>I9-D9-E9</f>
        <v/>
      </c>
      <c r="G9" s="272">
        <f>SUMIFS('Match Results'!$E$4:$E$75,'Match Results'!$C$4:$C$75,$A9,'Match Results'!$D$4:$D$75,$C9)+SUMIFS('Match Results'!$F$4:$F$75,'Match Results'!$C$4:$C$75,$A9,'Match Results'!$G$4:$G$75,$C9)</f>
        <v/>
      </c>
      <c r="H9" s="272">
        <f>SUMIFS('Match Results'!$F$4:$F$75,'Match Results'!$C$4:$C$75,$A9,'Match Results'!$D$4:$D$75,$C9)+SUMIFS('Match Results'!$E$4:$E$75,'Match Results'!$C$4:$C$75,$A9,'Match Results'!$G$4:$G$75,$C9)</f>
        <v/>
      </c>
      <c r="I9" s="272">
        <f>COUNTIFS('Match Results'!$C$4:$C$75,$A9,'Match Results'!$D$4:$D$75,$C9,'Match Results'!$H$4:$H$75,"Final")+COUNTIFS('Match Results'!$C$4:$C$75,$A9,'Match Results'!$G$4:$G$75,$C9,'Match Results'!$H$4:$H$75,"Final")</f>
        <v/>
      </c>
      <c r="J9" s="272">
        <f>G9-H9</f>
        <v/>
      </c>
      <c r="K9" s="272">
        <f>D9*3+E9</f>
        <v/>
      </c>
      <c r="L9" s="272">
        <f>1+SUMPRODUCT(($A$4:$A$51=$A9)*(($K$4:$K$51&gt;K9)+(($K$4:$K$51=K9)*($J$4:$J$51&gt;J9))+(($K$4:$K$51=K9)*($J$4:$J$51=J9)*($G$4:$G$51&gt;G9))+(($K$4:$K$51=K9)*($J$4:$J$51=J9)*($G$4:$G$51=G9)*($B$4:$B$51&lt;B9))))</f>
        <v/>
      </c>
      <c r="M9" s="272">
        <f>IF(L9=3,1+SUMPRODUCT(($L$4:$L$51=3)*(($K$4:$K$51&gt;K9)+(($K$4:$K$51=K9)*($J$4:$J$51&gt;J9))+(($K$4:$K$51=K9)*($J$4:$J$51=J9)*($G$4:$G$51&gt;G9))+(($K$4:$K$51=K9)*($J$4:$J$51=J9)*($G$4:$G$51=G9)*(ROW($A$4:$A$51)&lt;ROW(A9))))),"")</f>
        <v/>
      </c>
      <c r="N9" s="272">
        <f>IF(COUNTIFS('Match Results'!$C$4:$C$75,$A9,'Match Results'!$H$4:$H$75,"Final")&lt;6,IF(I9=0,"Pending","In play"),IF(L9&lt;=2,"Qualified",IF(AND(L9=3,M9&lt;=8),"Qualified best 3rd","Eliminated")))</f>
        <v/>
      </c>
      <c r="O9" s="399">
        <f>C9</f>
        <v/>
      </c>
      <c r="P9" s="233" t="n"/>
      <c r="Q9" s="233" t="n"/>
      <c r="R9" s="233" t="n"/>
      <c r="S9" s="233" t="n"/>
      <c r="T9" s="233" t="n"/>
      <c r="U9" s="233" t="n"/>
      <c r="V9" s="233" t="n"/>
      <c r="W9" s="233" t="n"/>
      <c r="X9" s="233" t="n"/>
      <c r="Y9" s="233" t="n"/>
      <c r="Z9" s="233" t="n"/>
      <c r="AA9" s="233" t="n"/>
      <c r="AB9" s="233" t="n"/>
      <c r="AC9" s="233" t="n"/>
      <c r="AD9" s="233" t="n"/>
      <c r="AE9" s="233" t="n"/>
      <c r="AF9" s="233" t="n"/>
      <c r="AG9" s="233" t="n"/>
      <c r="AH9" s="233" t="n"/>
      <c r="AI9" s="233" t="n"/>
      <c r="AJ9" s="233" t="n"/>
      <c r="AK9" s="233" t="n"/>
      <c r="AL9" s="233" t="n"/>
      <c r="AM9" s="233" t="n"/>
      <c r="AN9" s="233" t="n"/>
      <c r="AO9" s="233" t="n"/>
      <c r="AP9" s="233" t="n"/>
      <c r="AQ9" s="233" t="n"/>
      <c r="AR9" s="233" t="n"/>
    </row>
    <row r="10" ht="21" customHeight="1" s="28">
      <c r="A10" t="inlineStr">
        <is>
          <t>B</t>
        </is>
      </c>
      <c r="B10" t="n">
        <v>3</v>
      </c>
      <c r="C10" s="399" t="inlineStr">
        <is>
          <t>Switzerland</t>
        </is>
      </c>
      <c r="D10" s="272">
        <f>COUNTIFS('Match Results'!$C$4:$C$75,$A10,'Match Results'!$I$4:$I$75,$C10)</f>
        <v/>
      </c>
      <c r="E10" s="272">
        <f>COUNTIFS('Match Results'!$C$4:$C$75,$A10,'Match Results'!$D$4:$D$75,$C10,'Match Results'!$I$4:$I$75,"Draw")+COUNTIFS('Match Results'!$C$4:$C$75,$A10,'Match Results'!$G$4:$G$75,$C10,'Match Results'!$I$4:$I$75,"Draw")</f>
        <v/>
      </c>
      <c r="F10" s="272">
        <f>I10-D10-E10</f>
        <v/>
      </c>
      <c r="G10" s="272">
        <f>SUMIFS('Match Results'!$E$4:$E$75,'Match Results'!$C$4:$C$75,$A10,'Match Results'!$D$4:$D$75,$C10)+SUMIFS('Match Results'!$F$4:$F$75,'Match Results'!$C$4:$C$75,$A10,'Match Results'!$G$4:$G$75,$C10)</f>
        <v/>
      </c>
      <c r="H10" s="272">
        <f>SUMIFS('Match Results'!$F$4:$F$75,'Match Results'!$C$4:$C$75,$A10,'Match Results'!$D$4:$D$75,$C10)+SUMIFS('Match Results'!$E$4:$E$75,'Match Results'!$C$4:$C$75,$A10,'Match Results'!$G$4:$G$75,$C10)</f>
        <v/>
      </c>
      <c r="I10" s="272">
        <f>COUNTIFS('Match Results'!$C$4:$C$75,$A10,'Match Results'!$D$4:$D$75,$C10,'Match Results'!$H$4:$H$75,"Final")+COUNTIFS('Match Results'!$C$4:$C$75,$A10,'Match Results'!$G$4:$G$75,$C10,'Match Results'!$H$4:$H$75,"Final")</f>
        <v/>
      </c>
      <c r="J10" s="272">
        <f>G10-H10</f>
        <v/>
      </c>
      <c r="K10" s="272">
        <f>D10*3+E10</f>
        <v/>
      </c>
      <c r="L10" s="272">
        <f>1+SUMPRODUCT(($A$4:$A$51=$A10)*(($K$4:$K$51&gt;K10)+(($K$4:$K$51=K10)*($J$4:$J$51&gt;J10))+(($K$4:$K$51=K10)*($J$4:$J$51=J10)*($G$4:$G$51&gt;G10))+(($K$4:$K$51=K10)*($J$4:$J$51=J10)*($G$4:$G$51=G10)*($B$4:$B$51&lt;B10))))</f>
        <v/>
      </c>
      <c r="M10" s="272">
        <f>IF(L10=3,1+SUMPRODUCT(($L$4:$L$51=3)*(($K$4:$K$51&gt;K10)+(($K$4:$K$51=K10)*($J$4:$J$51&gt;J10))+(($K$4:$K$51=K10)*($J$4:$J$51=J10)*($G$4:$G$51&gt;G10))+(($K$4:$K$51=K10)*($J$4:$J$51=J10)*($G$4:$G$51=G10)*(ROW($A$4:$A$51)&lt;ROW(A10))))),"")</f>
        <v/>
      </c>
      <c r="N10" s="272">
        <f>IF(COUNTIFS('Match Results'!$C$4:$C$75,$A10,'Match Results'!$H$4:$H$75,"Final")&lt;6,IF(I10=0,"Pending","In play"),IF(L10&lt;=2,"Qualified",IF(AND(L10=3,M10&lt;=8),"Qualified best 3rd","Eliminated")))</f>
        <v/>
      </c>
      <c r="O10" s="399">
        <f>C10</f>
        <v/>
      </c>
      <c r="P10" s="233" t="n"/>
      <c r="Q10" s="233" t="n"/>
      <c r="R10" s="233" t="n"/>
      <c r="S10" s="233" t="n"/>
      <c r="T10" s="233" t="n"/>
      <c r="U10" s="233" t="n"/>
      <c r="V10" s="233" t="n"/>
      <c r="W10" s="233" t="n"/>
      <c r="X10" s="233" t="n"/>
      <c r="Y10" s="233" t="n"/>
      <c r="Z10" s="233" t="n"/>
      <c r="AA10" s="233" t="n"/>
      <c r="AB10" s="233" t="n"/>
      <c r="AC10" s="233" t="n"/>
      <c r="AD10" s="233" t="n"/>
      <c r="AE10" s="233" t="n"/>
      <c r="AF10" s="233" t="n"/>
      <c r="AG10" s="233" t="n"/>
      <c r="AH10" s="233" t="n"/>
      <c r="AI10" s="233" t="n"/>
      <c r="AJ10" s="233" t="n"/>
      <c r="AK10" s="233" t="n"/>
      <c r="AL10" s="233" t="n"/>
      <c r="AM10" s="233" t="n"/>
      <c r="AN10" s="233" t="n"/>
      <c r="AO10" s="233" t="n"/>
      <c r="AP10" s="233" t="n"/>
      <c r="AQ10" s="233" t="n"/>
      <c r="AR10" s="233" t="n"/>
    </row>
    <row r="11" ht="21" customHeight="1" s="28">
      <c r="A11" t="inlineStr">
        <is>
          <t>B</t>
        </is>
      </c>
      <c r="B11" t="n">
        <v>4</v>
      </c>
      <c r="C11" s="399" t="inlineStr">
        <is>
          <t>Qatar</t>
        </is>
      </c>
      <c r="D11" s="272">
        <f>COUNTIFS('Match Results'!$C$4:$C$75,$A11,'Match Results'!$I$4:$I$75,$C11)</f>
        <v/>
      </c>
      <c r="E11" s="272">
        <f>COUNTIFS('Match Results'!$C$4:$C$75,$A11,'Match Results'!$D$4:$D$75,$C11,'Match Results'!$I$4:$I$75,"Draw")+COUNTIFS('Match Results'!$C$4:$C$75,$A11,'Match Results'!$G$4:$G$75,$C11,'Match Results'!$I$4:$I$75,"Draw")</f>
        <v/>
      </c>
      <c r="F11" s="272">
        <f>I11-D11-E11</f>
        <v/>
      </c>
      <c r="G11" s="272">
        <f>SUMIFS('Match Results'!$E$4:$E$75,'Match Results'!$C$4:$C$75,$A11,'Match Results'!$D$4:$D$75,$C11)+SUMIFS('Match Results'!$F$4:$F$75,'Match Results'!$C$4:$C$75,$A11,'Match Results'!$G$4:$G$75,$C11)</f>
        <v/>
      </c>
      <c r="H11" s="272">
        <f>SUMIFS('Match Results'!$F$4:$F$75,'Match Results'!$C$4:$C$75,$A11,'Match Results'!$D$4:$D$75,$C11)+SUMIFS('Match Results'!$E$4:$E$75,'Match Results'!$C$4:$C$75,$A11,'Match Results'!$G$4:$G$75,$C11)</f>
        <v/>
      </c>
      <c r="I11" s="272">
        <f>COUNTIFS('Match Results'!$C$4:$C$75,$A11,'Match Results'!$D$4:$D$75,$C11,'Match Results'!$H$4:$H$75,"Final")+COUNTIFS('Match Results'!$C$4:$C$75,$A11,'Match Results'!$G$4:$G$75,$C11,'Match Results'!$H$4:$H$75,"Final")</f>
        <v/>
      </c>
      <c r="J11" s="272">
        <f>G11-H11</f>
        <v/>
      </c>
      <c r="K11" s="272">
        <f>D11*3+E11</f>
        <v/>
      </c>
      <c r="L11" s="272">
        <f>1+SUMPRODUCT(($A$4:$A$51=$A11)*(($K$4:$K$51&gt;K11)+(($K$4:$K$51=K11)*($J$4:$J$51&gt;J11))+(($K$4:$K$51=K11)*($J$4:$J$51=J11)*($G$4:$G$51&gt;G11))+(($K$4:$K$51=K11)*($J$4:$J$51=J11)*($G$4:$G$51=G11)*($B$4:$B$51&lt;B11))))</f>
        <v/>
      </c>
      <c r="M11" s="272">
        <f>IF(L11=3,1+SUMPRODUCT(($L$4:$L$51=3)*(($K$4:$K$51&gt;K11)+(($K$4:$K$51=K11)*($J$4:$J$51&gt;J11))+(($K$4:$K$51=K11)*($J$4:$J$51=J11)*($G$4:$G$51&gt;G11))+(($K$4:$K$51=K11)*($J$4:$J$51=J11)*($G$4:$G$51=G11)*(ROW($A$4:$A$51)&lt;ROW(A11))))),"")</f>
        <v/>
      </c>
      <c r="N11" s="272">
        <f>IF(COUNTIFS('Match Results'!$C$4:$C$75,$A11,'Match Results'!$H$4:$H$75,"Final")&lt;6,IF(I11=0,"Pending","In play"),IF(L11&lt;=2,"Qualified",IF(AND(L11=3,M11&lt;=8),"Qualified best 3rd","Eliminated")))</f>
        <v/>
      </c>
      <c r="O11" s="399">
        <f>C11</f>
        <v/>
      </c>
      <c r="P11" s="233" t="n"/>
      <c r="Q11" s="233" t="n"/>
      <c r="R11" s="233" t="n"/>
      <c r="S11" s="233" t="n"/>
      <c r="T11" s="233" t="n"/>
      <c r="U11" s="233" t="n"/>
      <c r="V11" s="233" t="n"/>
      <c r="W11" s="233" t="n"/>
      <c r="X11" s="233" t="n"/>
      <c r="Y11" s="233" t="n"/>
      <c r="Z11" s="233" t="n"/>
      <c r="AA11" s="233" t="n"/>
      <c r="AB11" s="233" t="n"/>
      <c r="AC11" s="233" t="n"/>
      <c r="AD11" s="233" t="n"/>
      <c r="AE11" s="233" t="n"/>
      <c r="AF11" s="233" t="n"/>
      <c r="AG11" s="233" t="n"/>
      <c r="AH11" s="233" t="n"/>
      <c r="AI11" s="233" t="n"/>
      <c r="AJ11" s="233" t="n"/>
      <c r="AK11" s="233" t="n"/>
      <c r="AL11" s="233" t="n"/>
      <c r="AM11" s="233" t="n"/>
      <c r="AN11" s="233" t="n"/>
      <c r="AO11" s="233" t="n"/>
      <c r="AP11" s="233" t="n"/>
      <c r="AQ11" s="233" t="n"/>
      <c r="AR11" s="233" t="n"/>
    </row>
    <row r="12" ht="21" customHeight="1" s="28">
      <c r="A12" t="inlineStr">
        <is>
          <t>C</t>
        </is>
      </c>
      <c r="B12" t="n">
        <v>1</v>
      </c>
      <c r="C12" s="399" t="inlineStr">
        <is>
          <t>Brazil</t>
        </is>
      </c>
      <c r="D12" s="272">
        <f>COUNTIFS('Match Results'!$C$4:$C$75,$A12,'Match Results'!$I$4:$I$75,$C12)</f>
        <v/>
      </c>
      <c r="E12" s="272">
        <f>COUNTIFS('Match Results'!$C$4:$C$75,$A12,'Match Results'!$D$4:$D$75,$C12,'Match Results'!$I$4:$I$75,"Draw")+COUNTIFS('Match Results'!$C$4:$C$75,$A12,'Match Results'!$G$4:$G$75,$C12,'Match Results'!$I$4:$I$75,"Draw")</f>
        <v/>
      </c>
      <c r="F12" s="272">
        <f>I12-D12-E12</f>
        <v/>
      </c>
      <c r="G12" s="272">
        <f>SUMIFS('Match Results'!$E$4:$E$75,'Match Results'!$C$4:$C$75,$A12,'Match Results'!$D$4:$D$75,$C12)+SUMIFS('Match Results'!$F$4:$F$75,'Match Results'!$C$4:$C$75,$A12,'Match Results'!$G$4:$G$75,$C12)</f>
        <v/>
      </c>
      <c r="H12" s="272">
        <f>SUMIFS('Match Results'!$F$4:$F$75,'Match Results'!$C$4:$C$75,$A12,'Match Results'!$D$4:$D$75,$C12)+SUMIFS('Match Results'!$E$4:$E$75,'Match Results'!$C$4:$C$75,$A12,'Match Results'!$G$4:$G$75,$C12)</f>
        <v/>
      </c>
      <c r="I12" s="272">
        <f>COUNTIFS('Match Results'!$C$4:$C$75,$A12,'Match Results'!$D$4:$D$75,$C12,'Match Results'!$H$4:$H$75,"Final")+COUNTIFS('Match Results'!$C$4:$C$75,$A12,'Match Results'!$G$4:$G$75,$C12,'Match Results'!$H$4:$H$75,"Final")</f>
        <v/>
      </c>
      <c r="J12" s="272">
        <f>G12-H12</f>
        <v/>
      </c>
      <c r="K12" s="272">
        <f>D12*3+E12</f>
        <v/>
      </c>
      <c r="L12" s="272">
        <f>1+SUMPRODUCT(($A$4:$A$51=$A12)*(($K$4:$K$51&gt;K12)+(($K$4:$K$51=K12)*($J$4:$J$51&gt;J12))+(($K$4:$K$51=K12)*($J$4:$J$51=J12)*($G$4:$G$51&gt;G12))+(($K$4:$K$51=K12)*($J$4:$J$51=J12)*($G$4:$G$51=G12)*($B$4:$B$51&lt;B12))))</f>
        <v/>
      </c>
      <c r="M12" s="272">
        <f>IF(L12=3,1+SUMPRODUCT(($L$4:$L$51=3)*(($K$4:$K$51&gt;K12)+(($K$4:$K$51=K12)*($J$4:$J$51&gt;J12))+(($K$4:$K$51=K12)*($J$4:$J$51=J12)*($G$4:$G$51&gt;G12))+(($K$4:$K$51=K12)*($J$4:$J$51=J12)*($G$4:$G$51=G12)*(ROW($A$4:$A$51)&lt;ROW(A12))))),"")</f>
        <v/>
      </c>
      <c r="N12" s="272">
        <f>IF(COUNTIFS('Match Results'!$C$4:$C$75,$A12,'Match Results'!$H$4:$H$75,"Final")&lt;6,IF(I12=0,"Pending","In play"),IF(L12&lt;=2,"Qualified",IF(AND(L12=3,M12&lt;=8),"Qualified best 3rd","Eliminated")))</f>
        <v/>
      </c>
      <c r="O12" s="399">
        <f>C12</f>
        <v/>
      </c>
      <c r="P12" s="233" t="n"/>
      <c r="Q12" s="233" t="n"/>
      <c r="R12" s="233" t="n"/>
      <c r="S12" s="233" t="n"/>
      <c r="T12" s="233" t="n"/>
      <c r="U12" s="233" t="n"/>
      <c r="V12" s="233" t="n"/>
      <c r="W12" s="233" t="n"/>
      <c r="X12" s="233" t="n"/>
      <c r="Y12" s="233" t="n"/>
      <c r="Z12" s="233" t="n"/>
      <c r="AA12" s="233" t="n"/>
      <c r="AB12" s="233" t="n"/>
      <c r="AC12" s="233" t="n"/>
      <c r="AD12" s="233" t="n"/>
      <c r="AE12" s="233" t="n"/>
      <c r="AF12" s="233" t="n"/>
      <c r="AG12" s="233" t="n"/>
      <c r="AH12" s="233" t="n"/>
      <c r="AI12" s="233" t="n"/>
      <c r="AJ12" s="233" t="n"/>
      <c r="AK12" s="233" t="n"/>
      <c r="AL12" s="233" t="n"/>
      <c r="AM12" s="233" t="n"/>
      <c r="AN12" s="233" t="n"/>
      <c r="AO12" s="233" t="n"/>
      <c r="AP12" s="233" t="n"/>
      <c r="AQ12" s="233" t="n"/>
      <c r="AR12" s="233" t="n"/>
    </row>
    <row r="13" ht="21" customHeight="1" s="28">
      <c r="A13" t="inlineStr">
        <is>
          <t>C</t>
        </is>
      </c>
      <c r="B13" t="n">
        <v>2</v>
      </c>
      <c r="C13" s="399" t="inlineStr">
        <is>
          <t>Morocco</t>
        </is>
      </c>
      <c r="D13" s="272">
        <f>COUNTIFS('Match Results'!$C$4:$C$75,$A13,'Match Results'!$I$4:$I$75,$C13)</f>
        <v/>
      </c>
      <c r="E13" s="272">
        <f>COUNTIFS('Match Results'!$C$4:$C$75,$A13,'Match Results'!$D$4:$D$75,$C13,'Match Results'!$I$4:$I$75,"Draw")+COUNTIFS('Match Results'!$C$4:$C$75,$A13,'Match Results'!$G$4:$G$75,$C13,'Match Results'!$I$4:$I$75,"Draw")</f>
        <v/>
      </c>
      <c r="F13" s="272">
        <f>I13-D13-E13</f>
        <v/>
      </c>
      <c r="G13" s="272">
        <f>SUMIFS('Match Results'!$E$4:$E$75,'Match Results'!$C$4:$C$75,$A13,'Match Results'!$D$4:$D$75,$C13)+SUMIFS('Match Results'!$F$4:$F$75,'Match Results'!$C$4:$C$75,$A13,'Match Results'!$G$4:$G$75,$C13)</f>
        <v/>
      </c>
      <c r="H13" s="272">
        <f>SUMIFS('Match Results'!$F$4:$F$75,'Match Results'!$C$4:$C$75,$A13,'Match Results'!$D$4:$D$75,$C13)+SUMIFS('Match Results'!$E$4:$E$75,'Match Results'!$C$4:$C$75,$A13,'Match Results'!$G$4:$G$75,$C13)</f>
        <v/>
      </c>
      <c r="I13" s="272">
        <f>COUNTIFS('Match Results'!$C$4:$C$75,$A13,'Match Results'!$D$4:$D$75,$C13,'Match Results'!$H$4:$H$75,"Final")+COUNTIFS('Match Results'!$C$4:$C$75,$A13,'Match Results'!$G$4:$G$75,$C13,'Match Results'!$H$4:$H$75,"Final")</f>
        <v/>
      </c>
      <c r="J13" s="272">
        <f>G13-H13</f>
        <v/>
      </c>
      <c r="K13" s="272">
        <f>D13*3+E13</f>
        <v/>
      </c>
      <c r="L13" s="272">
        <f>1+SUMPRODUCT(($A$4:$A$51=$A13)*(($K$4:$K$51&gt;K13)+(($K$4:$K$51=K13)*($J$4:$J$51&gt;J13))+(($K$4:$K$51=K13)*($J$4:$J$51=J13)*($G$4:$G$51&gt;G13))+(($K$4:$K$51=K13)*($J$4:$J$51=J13)*($G$4:$G$51=G13)*($B$4:$B$51&lt;B13))))</f>
        <v/>
      </c>
      <c r="M13" s="272">
        <f>IF(L13=3,1+SUMPRODUCT(($L$4:$L$51=3)*(($K$4:$K$51&gt;K13)+(($K$4:$K$51=K13)*($J$4:$J$51&gt;J13))+(($K$4:$K$51=K13)*($J$4:$J$51=J13)*($G$4:$G$51&gt;G13))+(($K$4:$K$51=K13)*($J$4:$J$51=J13)*($G$4:$G$51=G13)*(ROW($A$4:$A$51)&lt;ROW(A13))))),"")</f>
        <v/>
      </c>
      <c r="N13" s="272">
        <f>IF(COUNTIFS('Match Results'!$C$4:$C$75,$A13,'Match Results'!$H$4:$H$75,"Final")&lt;6,IF(I13=0,"Pending","In play"),IF(L13&lt;=2,"Qualified",IF(AND(L13=3,M13&lt;=8),"Qualified best 3rd","Eliminated")))</f>
        <v/>
      </c>
      <c r="O13" s="399">
        <f>C13</f>
        <v/>
      </c>
      <c r="P13" s="233" t="n"/>
      <c r="Q13" s="233" t="n"/>
      <c r="R13" s="233" t="n"/>
      <c r="S13" s="233" t="n"/>
      <c r="T13" s="233" t="n"/>
      <c r="U13" s="233" t="n"/>
      <c r="V13" s="233" t="n"/>
      <c r="W13" s="233" t="n"/>
      <c r="X13" s="233" t="n"/>
      <c r="Y13" s="233" t="n"/>
      <c r="Z13" s="233" t="n"/>
      <c r="AA13" s="233" t="n"/>
      <c r="AB13" s="233" t="n"/>
      <c r="AC13" s="233" t="n"/>
      <c r="AD13" s="233" t="n"/>
      <c r="AE13" s="233" t="n"/>
      <c r="AF13" s="233" t="n"/>
      <c r="AG13" s="233" t="n"/>
      <c r="AH13" s="233" t="n"/>
      <c r="AI13" s="233" t="n"/>
      <c r="AJ13" s="233" t="n"/>
      <c r="AK13" s="233" t="n"/>
      <c r="AL13" s="233" t="n"/>
      <c r="AM13" s="233" t="n"/>
      <c r="AN13" s="233" t="n"/>
      <c r="AO13" s="233" t="n"/>
      <c r="AP13" s="233" t="n"/>
      <c r="AQ13" s="233" t="n"/>
      <c r="AR13" s="233" t="n"/>
    </row>
    <row r="14" ht="21" customHeight="1" s="28">
      <c r="A14" t="inlineStr">
        <is>
          <t>C</t>
        </is>
      </c>
      <c r="B14" t="n">
        <v>3</v>
      </c>
      <c r="C14" s="399" t="inlineStr">
        <is>
          <t>Scotland</t>
        </is>
      </c>
      <c r="D14" s="272">
        <f>COUNTIFS('Match Results'!$C$4:$C$75,$A14,'Match Results'!$I$4:$I$75,$C14)</f>
        <v/>
      </c>
      <c r="E14" s="272">
        <f>COUNTIFS('Match Results'!$C$4:$C$75,$A14,'Match Results'!$D$4:$D$75,$C14,'Match Results'!$I$4:$I$75,"Draw")+COUNTIFS('Match Results'!$C$4:$C$75,$A14,'Match Results'!$G$4:$G$75,$C14,'Match Results'!$I$4:$I$75,"Draw")</f>
        <v/>
      </c>
      <c r="F14" s="272">
        <f>I14-D14-E14</f>
        <v/>
      </c>
      <c r="G14" s="272">
        <f>SUMIFS('Match Results'!$E$4:$E$75,'Match Results'!$C$4:$C$75,$A14,'Match Results'!$D$4:$D$75,$C14)+SUMIFS('Match Results'!$F$4:$F$75,'Match Results'!$C$4:$C$75,$A14,'Match Results'!$G$4:$G$75,$C14)</f>
        <v/>
      </c>
      <c r="H14" s="272">
        <f>SUMIFS('Match Results'!$F$4:$F$75,'Match Results'!$C$4:$C$75,$A14,'Match Results'!$D$4:$D$75,$C14)+SUMIFS('Match Results'!$E$4:$E$75,'Match Results'!$C$4:$C$75,$A14,'Match Results'!$G$4:$G$75,$C14)</f>
        <v/>
      </c>
      <c r="I14" s="272">
        <f>COUNTIFS('Match Results'!$C$4:$C$75,$A14,'Match Results'!$D$4:$D$75,$C14,'Match Results'!$H$4:$H$75,"Final")+COUNTIFS('Match Results'!$C$4:$C$75,$A14,'Match Results'!$G$4:$G$75,$C14,'Match Results'!$H$4:$H$75,"Final")</f>
        <v/>
      </c>
      <c r="J14" s="272">
        <f>G14-H14</f>
        <v/>
      </c>
      <c r="K14" s="272">
        <f>D14*3+E14</f>
        <v/>
      </c>
      <c r="L14" s="272">
        <f>1+SUMPRODUCT(($A$4:$A$51=$A14)*(($K$4:$K$51&gt;K14)+(($K$4:$K$51=K14)*($J$4:$J$51&gt;J14))+(($K$4:$K$51=K14)*($J$4:$J$51=J14)*($G$4:$G$51&gt;G14))+(($K$4:$K$51=K14)*($J$4:$J$51=J14)*($G$4:$G$51=G14)*($B$4:$B$51&lt;B14))))</f>
        <v/>
      </c>
      <c r="M14" s="272">
        <f>IF(L14=3,1+SUMPRODUCT(($L$4:$L$51=3)*(($K$4:$K$51&gt;K14)+(($K$4:$K$51=K14)*($J$4:$J$51&gt;J14))+(($K$4:$K$51=K14)*($J$4:$J$51=J14)*($G$4:$G$51&gt;G14))+(($K$4:$K$51=K14)*($J$4:$J$51=J14)*($G$4:$G$51=G14)*(ROW($A$4:$A$51)&lt;ROW(A14))))),"")</f>
        <v/>
      </c>
      <c r="N14" s="272">
        <f>IF(COUNTIFS('Match Results'!$C$4:$C$75,$A14,'Match Results'!$H$4:$H$75,"Final")&lt;6,IF(I14=0,"Pending","In play"),IF(L14&lt;=2,"Qualified",IF(AND(L14=3,M14&lt;=8),"Qualified best 3rd","Eliminated")))</f>
        <v/>
      </c>
      <c r="O14" s="399">
        <f>C14</f>
        <v/>
      </c>
      <c r="P14" s="233" t="n"/>
      <c r="Q14" s="233" t="n"/>
      <c r="R14" s="233" t="n"/>
      <c r="S14" s="233" t="n"/>
      <c r="T14" s="233" t="n"/>
      <c r="U14" s="233" t="n"/>
      <c r="V14" s="233" t="n"/>
      <c r="W14" s="233" t="n"/>
      <c r="X14" s="233" t="n"/>
      <c r="Y14" s="233" t="n"/>
      <c r="Z14" s="233" t="n"/>
      <c r="AA14" s="233" t="n"/>
      <c r="AB14" s="233" t="n"/>
      <c r="AC14" s="233" t="n"/>
      <c r="AD14" s="233" t="n"/>
      <c r="AE14" s="233" t="n"/>
      <c r="AF14" s="233" t="n"/>
      <c r="AG14" s="233" t="n"/>
      <c r="AH14" s="233" t="n"/>
      <c r="AI14" s="233" t="n"/>
      <c r="AJ14" s="233" t="n"/>
      <c r="AK14" s="233" t="n"/>
      <c r="AL14" s="233" t="n"/>
      <c r="AM14" s="233" t="n"/>
      <c r="AN14" s="233" t="n"/>
      <c r="AO14" s="233" t="n"/>
      <c r="AP14" s="233" t="n"/>
      <c r="AQ14" s="233" t="n"/>
      <c r="AR14" s="233" t="n"/>
    </row>
    <row r="15" ht="21" customHeight="1" s="28">
      <c r="A15" t="inlineStr">
        <is>
          <t>C</t>
        </is>
      </c>
      <c r="B15" t="n">
        <v>4</v>
      </c>
      <c r="C15" s="399" t="inlineStr">
        <is>
          <t>Haiti</t>
        </is>
      </c>
      <c r="D15" s="272">
        <f>COUNTIFS('Match Results'!$C$4:$C$75,$A15,'Match Results'!$I$4:$I$75,$C15)</f>
        <v/>
      </c>
      <c r="E15" s="272">
        <f>COUNTIFS('Match Results'!$C$4:$C$75,$A15,'Match Results'!$D$4:$D$75,$C15,'Match Results'!$I$4:$I$75,"Draw")+COUNTIFS('Match Results'!$C$4:$C$75,$A15,'Match Results'!$G$4:$G$75,$C15,'Match Results'!$I$4:$I$75,"Draw")</f>
        <v/>
      </c>
      <c r="F15" s="272">
        <f>I15-D15-E15</f>
        <v/>
      </c>
      <c r="G15" s="272">
        <f>SUMIFS('Match Results'!$E$4:$E$75,'Match Results'!$C$4:$C$75,$A15,'Match Results'!$D$4:$D$75,$C15)+SUMIFS('Match Results'!$F$4:$F$75,'Match Results'!$C$4:$C$75,$A15,'Match Results'!$G$4:$G$75,$C15)</f>
        <v/>
      </c>
      <c r="H15" s="272">
        <f>SUMIFS('Match Results'!$F$4:$F$75,'Match Results'!$C$4:$C$75,$A15,'Match Results'!$D$4:$D$75,$C15)+SUMIFS('Match Results'!$E$4:$E$75,'Match Results'!$C$4:$C$75,$A15,'Match Results'!$G$4:$G$75,$C15)</f>
        <v/>
      </c>
      <c r="I15" s="272">
        <f>COUNTIFS('Match Results'!$C$4:$C$75,$A15,'Match Results'!$D$4:$D$75,$C15,'Match Results'!$H$4:$H$75,"Final")+COUNTIFS('Match Results'!$C$4:$C$75,$A15,'Match Results'!$G$4:$G$75,$C15,'Match Results'!$H$4:$H$75,"Final")</f>
        <v/>
      </c>
      <c r="J15" s="272">
        <f>G15-H15</f>
        <v/>
      </c>
      <c r="K15" s="272">
        <f>D15*3+E15</f>
        <v/>
      </c>
      <c r="L15" s="272">
        <f>1+SUMPRODUCT(($A$4:$A$51=$A15)*(($K$4:$K$51&gt;K15)+(($K$4:$K$51=K15)*($J$4:$J$51&gt;J15))+(($K$4:$K$51=K15)*($J$4:$J$51=J15)*($G$4:$G$51&gt;G15))+(($K$4:$K$51=K15)*($J$4:$J$51=J15)*($G$4:$G$51=G15)*($B$4:$B$51&lt;B15))))</f>
        <v/>
      </c>
      <c r="M15" s="272">
        <f>IF(L15=3,1+SUMPRODUCT(($L$4:$L$51=3)*(($K$4:$K$51&gt;K15)+(($K$4:$K$51=K15)*($J$4:$J$51&gt;J15))+(($K$4:$K$51=K15)*($J$4:$J$51=J15)*($G$4:$G$51&gt;G15))+(($K$4:$K$51=K15)*($J$4:$J$51=J15)*($G$4:$G$51=G15)*(ROW($A$4:$A$51)&lt;ROW(A15))))),"")</f>
        <v/>
      </c>
      <c r="N15" s="272">
        <f>IF(COUNTIFS('Match Results'!$C$4:$C$75,$A15,'Match Results'!$H$4:$H$75,"Final")&lt;6,IF(I15=0,"Pending","In play"),IF(L15&lt;=2,"Qualified",IF(AND(L15=3,M15&lt;=8),"Qualified best 3rd","Eliminated")))</f>
        <v/>
      </c>
      <c r="O15" s="399">
        <f>C15</f>
        <v/>
      </c>
      <c r="P15" s="233" t="n"/>
      <c r="Q15" s="233" t="n"/>
      <c r="R15" s="233" t="n"/>
      <c r="S15" s="233" t="n"/>
      <c r="T15" s="233" t="n"/>
      <c r="U15" s="233" t="n"/>
      <c r="V15" s="233" t="n"/>
      <c r="W15" s="233" t="n"/>
      <c r="X15" s="233" t="n"/>
      <c r="Y15" s="233" t="n"/>
      <c r="Z15" s="233" t="n"/>
      <c r="AA15" s="233" t="n"/>
      <c r="AB15" s="233" t="n"/>
      <c r="AC15" s="233" t="n"/>
      <c r="AD15" s="233" t="n"/>
      <c r="AE15" s="233" t="n"/>
      <c r="AF15" s="233" t="n"/>
      <c r="AG15" s="233" t="n"/>
      <c r="AH15" s="233" t="n"/>
      <c r="AI15" s="233" t="n"/>
      <c r="AJ15" s="233" t="n"/>
      <c r="AK15" s="233" t="n"/>
      <c r="AL15" s="233" t="n"/>
      <c r="AM15" s="233" t="n"/>
      <c r="AN15" s="233" t="n"/>
      <c r="AO15" s="233" t="n"/>
      <c r="AP15" s="233" t="n"/>
      <c r="AQ15" s="233" t="n"/>
      <c r="AR15" s="233" t="n"/>
    </row>
    <row r="16" ht="21" customHeight="1" s="28">
      <c r="A16" t="inlineStr">
        <is>
          <t>D</t>
        </is>
      </c>
      <c r="B16" t="n">
        <v>1</v>
      </c>
      <c r="C16" s="399" t="inlineStr">
        <is>
          <t>USA</t>
        </is>
      </c>
      <c r="D16" s="272">
        <f>COUNTIFS('Match Results'!$C$4:$C$75,$A16,'Match Results'!$I$4:$I$75,$C16)</f>
        <v/>
      </c>
      <c r="E16" s="272">
        <f>COUNTIFS('Match Results'!$C$4:$C$75,$A16,'Match Results'!$D$4:$D$75,$C16,'Match Results'!$I$4:$I$75,"Draw")+COUNTIFS('Match Results'!$C$4:$C$75,$A16,'Match Results'!$G$4:$G$75,$C16,'Match Results'!$I$4:$I$75,"Draw")</f>
        <v/>
      </c>
      <c r="F16" s="272">
        <f>I16-D16-E16</f>
        <v/>
      </c>
      <c r="G16" s="272">
        <f>SUMIFS('Match Results'!$E$4:$E$75,'Match Results'!$C$4:$C$75,$A16,'Match Results'!$D$4:$D$75,$C16)+SUMIFS('Match Results'!$F$4:$F$75,'Match Results'!$C$4:$C$75,$A16,'Match Results'!$G$4:$G$75,$C16)</f>
        <v/>
      </c>
      <c r="H16" s="272">
        <f>SUMIFS('Match Results'!$F$4:$F$75,'Match Results'!$C$4:$C$75,$A16,'Match Results'!$D$4:$D$75,$C16)+SUMIFS('Match Results'!$E$4:$E$75,'Match Results'!$C$4:$C$75,$A16,'Match Results'!$G$4:$G$75,$C16)</f>
        <v/>
      </c>
      <c r="I16" s="272">
        <f>COUNTIFS('Match Results'!$C$4:$C$75,$A16,'Match Results'!$D$4:$D$75,$C16,'Match Results'!$H$4:$H$75,"Final")+COUNTIFS('Match Results'!$C$4:$C$75,$A16,'Match Results'!$G$4:$G$75,$C16,'Match Results'!$H$4:$H$75,"Final")</f>
        <v/>
      </c>
      <c r="J16" s="272">
        <f>G16-H16</f>
        <v/>
      </c>
      <c r="K16" s="272">
        <f>D16*3+E16</f>
        <v/>
      </c>
      <c r="L16" s="272">
        <f>1+SUMPRODUCT(($A$4:$A$51=$A16)*(($K$4:$K$51&gt;K16)+(($K$4:$K$51=K16)*($J$4:$J$51&gt;J16))+(($K$4:$K$51=K16)*($J$4:$J$51=J16)*($G$4:$G$51&gt;G16))+(($K$4:$K$51=K16)*($J$4:$J$51=J16)*($G$4:$G$51=G16)*($B$4:$B$51&lt;B16))))</f>
        <v/>
      </c>
      <c r="M16" s="272">
        <f>IF(L16=3,1+SUMPRODUCT(($L$4:$L$51=3)*(($K$4:$K$51&gt;K16)+(($K$4:$K$51=K16)*($J$4:$J$51&gt;J16))+(($K$4:$K$51=K16)*($J$4:$J$51=J16)*($G$4:$G$51&gt;G16))+(($K$4:$K$51=K16)*($J$4:$J$51=J16)*($G$4:$G$51=G16)*(ROW($A$4:$A$51)&lt;ROW(A16))))),"")</f>
        <v/>
      </c>
      <c r="N16" s="272">
        <f>IF(COUNTIFS('Match Results'!$C$4:$C$75,$A16,'Match Results'!$H$4:$H$75,"Final")&lt;6,IF(I16=0,"Pending","In play"),IF(L16&lt;=2,"Qualified",IF(AND(L16=3,M16&lt;=8),"Qualified best 3rd","Eliminated")))</f>
        <v/>
      </c>
      <c r="O16" s="399">
        <f>C16</f>
        <v/>
      </c>
      <c r="P16" s="233" t="n"/>
      <c r="Q16" s="233" t="n"/>
      <c r="R16" s="233" t="n"/>
      <c r="S16" s="233" t="n"/>
      <c r="T16" s="233" t="n"/>
      <c r="U16" s="233" t="n"/>
      <c r="V16" s="233" t="n"/>
      <c r="W16" s="233" t="n"/>
      <c r="X16" s="233" t="n"/>
      <c r="Y16" s="233" t="n"/>
      <c r="Z16" s="233" t="n"/>
      <c r="AA16" s="233" t="n"/>
      <c r="AB16" s="233" t="n"/>
      <c r="AC16" s="233" t="n"/>
      <c r="AD16" s="233" t="n"/>
      <c r="AE16" s="233" t="n"/>
      <c r="AF16" s="233" t="n"/>
      <c r="AG16" s="233" t="n"/>
      <c r="AH16" s="233" t="n"/>
      <c r="AI16" s="233" t="n"/>
      <c r="AJ16" s="233" t="n"/>
      <c r="AK16" s="233" t="n"/>
      <c r="AL16" s="233" t="n"/>
      <c r="AM16" s="233" t="n"/>
      <c r="AN16" s="233" t="n"/>
      <c r="AO16" s="233" t="n"/>
      <c r="AP16" s="233" t="n"/>
      <c r="AQ16" s="233" t="n"/>
      <c r="AR16" s="233" t="n"/>
    </row>
    <row r="17" ht="21" customHeight="1" s="28">
      <c r="A17" t="inlineStr">
        <is>
          <t>D</t>
        </is>
      </c>
      <c r="B17" t="n">
        <v>2</v>
      </c>
      <c r="C17" s="399" t="inlineStr">
        <is>
          <t>Paraguay</t>
        </is>
      </c>
      <c r="D17" s="272">
        <f>COUNTIFS('Match Results'!$C$4:$C$75,$A17,'Match Results'!$I$4:$I$75,$C17)</f>
        <v/>
      </c>
      <c r="E17" s="272">
        <f>COUNTIFS('Match Results'!$C$4:$C$75,$A17,'Match Results'!$D$4:$D$75,$C17,'Match Results'!$I$4:$I$75,"Draw")+COUNTIFS('Match Results'!$C$4:$C$75,$A17,'Match Results'!$G$4:$G$75,$C17,'Match Results'!$I$4:$I$75,"Draw")</f>
        <v/>
      </c>
      <c r="F17" s="272">
        <f>I17-D17-E17</f>
        <v/>
      </c>
      <c r="G17" s="272">
        <f>SUMIFS('Match Results'!$E$4:$E$75,'Match Results'!$C$4:$C$75,$A17,'Match Results'!$D$4:$D$75,$C17)+SUMIFS('Match Results'!$F$4:$F$75,'Match Results'!$C$4:$C$75,$A17,'Match Results'!$G$4:$G$75,$C17)</f>
        <v/>
      </c>
      <c r="H17" s="272">
        <f>SUMIFS('Match Results'!$F$4:$F$75,'Match Results'!$C$4:$C$75,$A17,'Match Results'!$D$4:$D$75,$C17)+SUMIFS('Match Results'!$E$4:$E$75,'Match Results'!$C$4:$C$75,$A17,'Match Results'!$G$4:$G$75,$C17)</f>
        <v/>
      </c>
      <c r="I17" s="272">
        <f>COUNTIFS('Match Results'!$C$4:$C$75,$A17,'Match Results'!$D$4:$D$75,$C17,'Match Results'!$H$4:$H$75,"Final")+COUNTIFS('Match Results'!$C$4:$C$75,$A17,'Match Results'!$G$4:$G$75,$C17,'Match Results'!$H$4:$H$75,"Final")</f>
        <v/>
      </c>
      <c r="J17" s="272">
        <f>G17-H17</f>
        <v/>
      </c>
      <c r="K17" s="272">
        <f>D17*3+E17</f>
        <v/>
      </c>
      <c r="L17" s="272">
        <f>1+SUMPRODUCT(($A$4:$A$51=$A17)*(($K$4:$K$51&gt;K17)+(($K$4:$K$51=K17)*($J$4:$J$51&gt;J17))+(($K$4:$K$51=K17)*($J$4:$J$51=J17)*($G$4:$G$51&gt;G17))+(($K$4:$K$51=K17)*($J$4:$J$51=J17)*($G$4:$G$51=G17)*($B$4:$B$51&lt;B17))))</f>
        <v/>
      </c>
      <c r="M17" s="272">
        <f>IF(L17=3,1+SUMPRODUCT(($L$4:$L$51=3)*(($K$4:$K$51&gt;K17)+(($K$4:$K$51=K17)*($J$4:$J$51&gt;J17))+(($K$4:$K$51=K17)*($J$4:$J$51=J17)*($G$4:$G$51&gt;G17))+(($K$4:$K$51=K17)*($J$4:$J$51=J17)*($G$4:$G$51=G17)*(ROW($A$4:$A$51)&lt;ROW(A17))))),"")</f>
        <v/>
      </c>
      <c r="N17" s="272">
        <f>IF(COUNTIFS('Match Results'!$C$4:$C$75,$A17,'Match Results'!$H$4:$H$75,"Final")&lt;6,IF(I17=0,"Pending","In play"),IF(L17&lt;=2,"Qualified",IF(AND(L17=3,M17&lt;=8),"Qualified best 3rd","Eliminated")))</f>
        <v/>
      </c>
      <c r="O17" s="399">
        <f>C17</f>
        <v/>
      </c>
      <c r="P17" s="233" t="n"/>
      <c r="Q17" s="233" t="n"/>
      <c r="R17" s="233" t="n"/>
      <c r="S17" s="233" t="n"/>
      <c r="T17" s="233" t="n"/>
      <c r="U17" s="233" t="n"/>
      <c r="V17" s="233" t="n"/>
      <c r="W17" s="233" t="n"/>
      <c r="X17" s="233" t="n"/>
      <c r="Y17" s="233" t="n"/>
      <c r="Z17" s="233" t="n"/>
      <c r="AA17" s="233" t="n"/>
      <c r="AB17" s="233" t="n"/>
      <c r="AC17" s="233" t="n"/>
      <c r="AD17" s="233" t="n"/>
      <c r="AE17" s="233" t="n"/>
      <c r="AF17" s="233" t="n"/>
      <c r="AG17" s="233" t="n"/>
      <c r="AH17" s="233" t="n"/>
      <c r="AI17" s="233" t="n"/>
      <c r="AJ17" s="233" t="n"/>
      <c r="AK17" s="233" t="n"/>
      <c r="AL17" s="233" t="n"/>
      <c r="AM17" s="233" t="n"/>
      <c r="AN17" s="233" t="n"/>
      <c r="AO17" s="233" t="n"/>
      <c r="AP17" s="233" t="n"/>
      <c r="AQ17" s="233" t="n"/>
      <c r="AR17" s="233" t="n"/>
    </row>
    <row r="18" ht="21" customHeight="1" s="28">
      <c r="A18" t="inlineStr">
        <is>
          <t>D</t>
        </is>
      </c>
      <c r="B18" t="n">
        <v>3</v>
      </c>
      <c r="C18" s="399" t="inlineStr">
        <is>
          <t>Australia</t>
        </is>
      </c>
      <c r="D18" s="272">
        <f>COUNTIFS('Match Results'!$C$4:$C$75,$A18,'Match Results'!$I$4:$I$75,$C18)</f>
        <v/>
      </c>
      <c r="E18" s="272">
        <f>COUNTIFS('Match Results'!$C$4:$C$75,$A18,'Match Results'!$D$4:$D$75,$C18,'Match Results'!$I$4:$I$75,"Draw")+COUNTIFS('Match Results'!$C$4:$C$75,$A18,'Match Results'!$G$4:$G$75,$C18,'Match Results'!$I$4:$I$75,"Draw")</f>
        <v/>
      </c>
      <c r="F18" s="272">
        <f>I18-D18-E18</f>
        <v/>
      </c>
      <c r="G18" s="272">
        <f>SUMIFS('Match Results'!$E$4:$E$75,'Match Results'!$C$4:$C$75,$A18,'Match Results'!$D$4:$D$75,$C18)+SUMIFS('Match Results'!$F$4:$F$75,'Match Results'!$C$4:$C$75,$A18,'Match Results'!$G$4:$G$75,$C18)</f>
        <v/>
      </c>
      <c r="H18" s="272">
        <f>SUMIFS('Match Results'!$F$4:$F$75,'Match Results'!$C$4:$C$75,$A18,'Match Results'!$D$4:$D$75,$C18)+SUMIFS('Match Results'!$E$4:$E$75,'Match Results'!$C$4:$C$75,$A18,'Match Results'!$G$4:$G$75,$C18)</f>
        <v/>
      </c>
      <c r="I18" s="272">
        <f>COUNTIFS('Match Results'!$C$4:$C$75,$A18,'Match Results'!$D$4:$D$75,$C18,'Match Results'!$H$4:$H$75,"Final")+COUNTIFS('Match Results'!$C$4:$C$75,$A18,'Match Results'!$G$4:$G$75,$C18,'Match Results'!$H$4:$H$75,"Final")</f>
        <v/>
      </c>
      <c r="J18" s="272">
        <f>G18-H18</f>
        <v/>
      </c>
      <c r="K18" s="272">
        <f>D18*3+E18</f>
        <v/>
      </c>
      <c r="L18" s="272">
        <f>1+SUMPRODUCT(($A$4:$A$51=$A18)*(($K$4:$K$51&gt;K18)+(($K$4:$K$51=K18)*($J$4:$J$51&gt;J18))+(($K$4:$K$51=K18)*($J$4:$J$51=J18)*($G$4:$G$51&gt;G18))+(($K$4:$K$51=K18)*($J$4:$J$51=J18)*($G$4:$G$51=G18)*($B$4:$B$51&lt;B18))))</f>
        <v/>
      </c>
      <c r="M18" s="272">
        <f>IF(L18=3,1+SUMPRODUCT(($L$4:$L$51=3)*(($K$4:$K$51&gt;K18)+(($K$4:$K$51=K18)*($J$4:$J$51&gt;J18))+(($K$4:$K$51=K18)*($J$4:$J$51=J18)*($G$4:$G$51&gt;G18))+(($K$4:$K$51=K18)*($J$4:$J$51=J18)*($G$4:$G$51=G18)*(ROW($A$4:$A$51)&lt;ROW(A18))))),"")</f>
        <v/>
      </c>
      <c r="N18" s="272">
        <f>IF(COUNTIFS('Match Results'!$C$4:$C$75,$A18,'Match Results'!$H$4:$H$75,"Final")&lt;6,IF(I18=0,"Pending","In play"),IF(L18&lt;=2,"Qualified",IF(AND(L18=3,M18&lt;=8),"Qualified best 3rd","Eliminated")))</f>
        <v/>
      </c>
      <c r="O18" s="399">
        <f>C18</f>
        <v/>
      </c>
      <c r="P18" s="233" t="n"/>
      <c r="Q18" s="233" t="n"/>
      <c r="R18" s="233" t="n"/>
      <c r="S18" s="233" t="n"/>
      <c r="T18" s="233" t="n"/>
      <c r="U18" s="233" t="n"/>
      <c r="V18" s="233" t="n"/>
      <c r="W18" s="233" t="n"/>
      <c r="X18" s="233" t="n"/>
      <c r="Y18" s="233" t="n"/>
      <c r="Z18" s="233" t="n"/>
      <c r="AA18" s="233" t="n"/>
      <c r="AB18" s="233" t="n"/>
      <c r="AC18" s="233" t="n"/>
      <c r="AD18" s="233" t="n"/>
      <c r="AE18" s="233" t="n"/>
      <c r="AF18" s="233" t="n"/>
      <c r="AG18" s="233" t="n"/>
      <c r="AH18" s="233" t="n"/>
      <c r="AI18" s="233" t="n"/>
      <c r="AJ18" s="233" t="n"/>
      <c r="AK18" s="233" t="n"/>
      <c r="AL18" s="233" t="n"/>
      <c r="AM18" s="233" t="n"/>
      <c r="AN18" s="233" t="n"/>
      <c r="AO18" s="233" t="n"/>
      <c r="AP18" s="233" t="n"/>
      <c r="AQ18" s="233" t="n"/>
      <c r="AR18" s="233" t="n"/>
    </row>
    <row r="19" ht="21" customHeight="1" s="28">
      <c r="A19" t="inlineStr">
        <is>
          <t>D</t>
        </is>
      </c>
      <c r="B19" t="n">
        <v>4</v>
      </c>
      <c r="C19" s="399" t="inlineStr">
        <is>
          <t>Türkiye</t>
        </is>
      </c>
      <c r="D19" s="272">
        <f>COUNTIFS('Match Results'!$C$4:$C$75,$A19,'Match Results'!$I$4:$I$75,$C19)</f>
        <v/>
      </c>
      <c r="E19" s="272">
        <f>COUNTIFS('Match Results'!$C$4:$C$75,$A19,'Match Results'!$D$4:$D$75,$C19,'Match Results'!$I$4:$I$75,"Draw")+COUNTIFS('Match Results'!$C$4:$C$75,$A19,'Match Results'!$G$4:$G$75,$C19,'Match Results'!$I$4:$I$75,"Draw")</f>
        <v/>
      </c>
      <c r="F19" s="272">
        <f>I19-D19-E19</f>
        <v/>
      </c>
      <c r="G19" s="272">
        <f>SUMIFS('Match Results'!$E$4:$E$75,'Match Results'!$C$4:$C$75,$A19,'Match Results'!$D$4:$D$75,$C19)+SUMIFS('Match Results'!$F$4:$F$75,'Match Results'!$C$4:$C$75,$A19,'Match Results'!$G$4:$G$75,$C19)</f>
        <v/>
      </c>
      <c r="H19" s="272">
        <f>SUMIFS('Match Results'!$F$4:$F$75,'Match Results'!$C$4:$C$75,$A19,'Match Results'!$D$4:$D$75,$C19)+SUMIFS('Match Results'!$E$4:$E$75,'Match Results'!$C$4:$C$75,$A19,'Match Results'!$G$4:$G$75,$C19)</f>
        <v/>
      </c>
      <c r="I19" s="272">
        <f>COUNTIFS('Match Results'!$C$4:$C$75,$A19,'Match Results'!$D$4:$D$75,$C19,'Match Results'!$H$4:$H$75,"Final")+COUNTIFS('Match Results'!$C$4:$C$75,$A19,'Match Results'!$G$4:$G$75,$C19,'Match Results'!$H$4:$H$75,"Final")</f>
        <v/>
      </c>
      <c r="J19" s="272">
        <f>G19-H19</f>
        <v/>
      </c>
      <c r="K19" s="272">
        <f>D19*3+E19</f>
        <v/>
      </c>
      <c r="L19" s="272">
        <f>1+SUMPRODUCT(($A$4:$A$51=$A19)*(($K$4:$K$51&gt;K19)+(($K$4:$K$51=K19)*($J$4:$J$51&gt;J19))+(($K$4:$K$51=K19)*($J$4:$J$51=J19)*($G$4:$G$51&gt;G19))+(($K$4:$K$51=K19)*($J$4:$J$51=J19)*($G$4:$G$51=G19)*($B$4:$B$51&lt;B19))))</f>
        <v/>
      </c>
      <c r="M19" s="272">
        <f>IF(L19=3,1+SUMPRODUCT(($L$4:$L$51=3)*(($K$4:$K$51&gt;K19)+(($K$4:$K$51=K19)*($J$4:$J$51&gt;J19))+(($K$4:$K$51=K19)*($J$4:$J$51=J19)*($G$4:$G$51&gt;G19))+(($K$4:$K$51=K19)*($J$4:$J$51=J19)*($G$4:$G$51=G19)*(ROW($A$4:$A$51)&lt;ROW(A19))))),"")</f>
        <v/>
      </c>
      <c r="N19" s="272">
        <f>IF(COUNTIFS('Match Results'!$C$4:$C$75,$A19,'Match Results'!$H$4:$H$75,"Final")&lt;6,IF(I19=0,"Pending","In play"),IF(L19&lt;=2,"Qualified",IF(AND(L19=3,M19&lt;=8),"Qualified best 3rd","Eliminated")))</f>
        <v/>
      </c>
      <c r="O19" s="399">
        <f>C19</f>
        <v/>
      </c>
      <c r="P19" s="233" t="n"/>
      <c r="Q19" s="233" t="n"/>
      <c r="R19" s="233" t="n"/>
      <c r="S19" s="233" t="n"/>
      <c r="T19" s="233" t="n"/>
      <c r="U19" s="233" t="n"/>
      <c r="V19" s="233" t="n"/>
      <c r="W19" s="233" t="n"/>
      <c r="X19" s="233" t="n"/>
      <c r="Y19" s="233" t="n"/>
      <c r="Z19" s="233" t="n"/>
      <c r="AA19" s="233" t="n"/>
      <c r="AB19" s="233" t="n"/>
      <c r="AC19" s="233" t="n"/>
      <c r="AD19" s="233" t="n"/>
      <c r="AE19" s="233" t="n"/>
      <c r="AF19" s="233" t="n"/>
      <c r="AG19" s="233" t="n"/>
      <c r="AH19" s="233" t="n"/>
      <c r="AI19" s="233" t="n"/>
      <c r="AJ19" s="233" t="n"/>
      <c r="AK19" s="233" t="n"/>
      <c r="AL19" s="233" t="n"/>
      <c r="AM19" s="233" t="n"/>
      <c r="AN19" s="233" t="n"/>
      <c r="AO19" s="233" t="n"/>
      <c r="AP19" s="233" t="n"/>
      <c r="AQ19" s="233" t="n"/>
      <c r="AR19" s="233" t="n"/>
    </row>
    <row r="20" ht="21" customHeight="1" s="28">
      <c r="A20" t="inlineStr">
        <is>
          <t>E</t>
        </is>
      </c>
      <c r="B20" t="n">
        <v>1</v>
      </c>
      <c r="C20" s="399" t="inlineStr">
        <is>
          <t>Germany</t>
        </is>
      </c>
      <c r="D20" s="272">
        <f>COUNTIFS('Match Results'!$C$4:$C$75,$A20,'Match Results'!$I$4:$I$75,$C20)</f>
        <v/>
      </c>
      <c r="E20" s="272">
        <f>COUNTIFS('Match Results'!$C$4:$C$75,$A20,'Match Results'!$D$4:$D$75,$C20,'Match Results'!$I$4:$I$75,"Draw")+COUNTIFS('Match Results'!$C$4:$C$75,$A20,'Match Results'!$G$4:$G$75,$C20,'Match Results'!$I$4:$I$75,"Draw")</f>
        <v/>
      </c>
      <c r="F20" s="272">
        <f>I20-D20-E20</f>
        <v/>
      </c>
      <c r="G20" s="272">
        <f>SUMIFS('Match Results'!$E$4:$E$75,'Match Results'!$C$4:$C$75,$A20,'Match Results'!$D$4:$D$75,$C20)+SUMIFS('Match Results'!$F$4:$F$75,'Match Results'!$C$4:$C$75,$A20,'Match Results'!$G$4:$G$75,$C20)</f>
        <v/>
      </c>
      <c r="H20" s="272">
        <f>SUMIFS('Match Results'!$F$4:$F$75,'Match Results'!$C$4:$C$75,$A20,'Match Results'!$D$4:$D$75,$C20)+SUMIFS('Match Results'!$E$4:$E$75,'Match Results'!$C$4:$C$75,$A20,'Match Results'!$G$4:$G$75,$C20)</f>
        <v/>
      </c>
      <c r="I20" s="272">
        <f>COUNTIFS('Match Results'!$C$4:$C$75,$A20,'Match Results'!$D$4:$D$75,$C20,'Match Results'!$H$4:$H$75,"Final")+COUNTIFS('Match Results'!$C$4:$C$75,$A20,'Match Results'!$G$4:$G$75,$C20,'Match Results'!$H$4:$H$75,"Final")</f>
        <v/>
      </c>
      <c r="J20" s="272">
        <f>G20-H20</f>
        <v/>
      </c>
      <c r="K20" s="272">
        <f>D20*3+E20</f>
        <v/>
      </c>
      <c r="L20" s="272">
        <f>1+SUMPRODUCT(($A$4:$A$51=$A20)*(($K$4:$K$51&gt;K20)+(($K$4:$K$51=K20)*($J$4:$J$51&gt;J20))+(($K$4:$K$51=K20)*($J$4:$J$51=J20)*($G$4:$G$51&gt;G20))+(($K$4:$K$51=K20)*($J$4:$J$51=J20)*($G$4:$G$51=G20)*($B$4:$B$51&lt;B20))))</f>
        <v/>
      </c>
      <c r="M20" s="272">
        <f>IF(L20=3,1+SUMPRODUCT(($L$4:$L$51=3)*(($K$4:$K$51&gt;K20)+(($K$4:$K$51=K20)*($J$4:$J$51&gt;J20))+(($K$4:$K$51=K20)*($J$4:$J$51=J20)*($G$4:$G$51&gt;G20))+(($K$4:$K$51=K20)*($J$4:$J$51=J20)*($G$4:$G$51=G20)*(ROW($A$4:$A$51)&lt;ROW(A20))))),"")</f>
        <v/>
      </c>
      <c r="N20" s="272">
        <f>IF(COUNTIFS('Match Results'!$C$4:$C$75,$A20,'Match Results'!$H$4:$H$75,"Final")&lt;6,IF(I20=0,"Pending","In play"),IF(L20&lt;=2,"Qualified",IF(AND(L20=3,M20&lt;=8),"Qualified best 3rd","Eliminated")))</f>
        <v/>
      </c>
      <c r="O20" s="399">
        <f>C20</f>
        <v/>
      </c>
      <c r="P20" s="233" t="n"/>
      <c r="Q20" s="233" t="n"/>
      <c r="R20" s="233" t="n"/>
      <c r="S20" s="233" t="n"/>
      <c r="T20" s="233" t="n"/>
      <c r="U20" s="233" t="n"/>
      <c r="V20" s="233" t="n"/>
      <c r="W20" s="233" t="n"/>
      <c r="X20" s="233" t="n"/>
      <c r="Y20" s="233" t="n"/>
      <c r="Z20" s="233" t="n"/>
      <c r="AA20" s="233" t="n"/>
      <c r="AB20" s="233" t="n"/>
      <c r="AC20" s="233" t="n"/>
      <c r="AD20" s="233" t="n"/>
      <c r="AE20" s="233" t="n"/>
      <c r="AF20" s="233" t="n"/>
      <c r="AG20" s="233" t="n"/>
      <c r="AH20" s="233" t="n"/>
      <c r="AI20" s="233" t="n"/>
      <c r="AJ20" s="233" t="n"/>
      <c r="AK20" s="233" t="n"/>
      <c r="AL20" s="233" t="n"/>
      <c r="AM20" s="233" t="n"/>
      <c r="AN20" s="233" t="n"/>
      <c r="AO20" s="233" t="n"/>
      <c r="AP20" s="233" t="n"/>
      <c r="AQ20" s="233" t="n"/>
      <c r="AR20" s="233" t="n"/>
    </row>
    <row r="21" ht="21" customHeight="1" s="28">
      <c r="A21" t="inlineStr">
        <is>
          <t>E</t>
        </is>
      </c>
      <c r="B21" t="n">
        <v>2</v>
      </c>
      <c r="C21" s="399" t="inlineStr">
        <is>
          <t>Curaçao</t>
        </is>
      </c>
      <c r="D21" s="272">
        <f>COUNTIFS('Match Results'!$C$4:$C$75,$A21,'Match Results'!$I$4:$I$75,$C21)</f>
        <v/>
      </c>
      <c r="E21" s="272">
        <f>COUNTIFS('Match Results'!$C$4:$C$75,$A21,'Match Results'!$D$4:$D$75,$C21,'Match Results'!$I$4:$I$75,"Draw")+COUNTIFS('Match Results'!$C$4:$C$75,$A21,'Match Results'!$G$4:$G$75,$C21,'Match Results'!$I$4:$I$75,"Draw")</f>
        <v/>
      </c>
      <c r="F21" s="272">
        <f>I21-D21-E21</f>
        <v/>
      </c>
      <c r="G21" s="272">
        <f>SUMIFS('Match Results'!$E$4:$E$75,'Match Results'!$C$4:$C$75,$A21,'Match Results'!$D$4:$D$75,$C21)+SUMIFS('Match Results'!$F$4:$F$75,'Match Results'!$C$4:$C$75,$A21,'Match Results'!$G$4:$G$75,$C21)</f>
        <v/>
      </c>
      <c r="H21" s="272">
        <f>SUMIFS('Match Results'!$F$4:$F$75,'Match Results'!$C$4:$C$75,$A21,'Match Results'!$D$4:$D$75,$C21)+SUMIFS('Match Results'!$E$4:$E$75,'Match Results'!$C$4:$C$75,$A21,'Match Results'!$G$4:$G$75,$C21)</f>
        <v/>
      </c>
      <c r="I21" s="272">
        <f>COUNTIFS('Match Results'!$C$4:$C$75,$A21,'Match Results'!$D$4:$D$75,$C21,'Match Results'!$H$4:$H$75,"Final")+COUNTIFS('Match Results'!$C$4:$C$75,$A21,'Match Results'!$G$4:$G$75,$C21,'Match Results'!$H$4:$H$75,"Final")</f>
        <v/>
      </c>
      <c r="J21" s="272">
        <f>G21-H21</f>
        <v/>
      </c>
      <c r="K21" s="272">
        <f>D21*3+E21</f>
        <v/>
      </c>
      <c r="L21" s="272">
        <f>1+SUMPRODUCT(($A$4:$A$51=$A21)*(($K$4:$K$51&gt;K21)+(($K$4:$K$51=K21)*($J$4:$J$51&gt;J21))+(($K$4:$K$51=K21)*($J$4:$J$51=J21)*($G$4:$G$51&gt;G21))+(($K$4:$K$51=K21)*($J$4:$J$51=J21)*($G$4:$G$51=G21)*($B$4:$B$51&lt;B21))))</f>
        <v/>
      </c>
      <c r="M21" s="272">
        <f>IF(L21=3,1+SUMPRODUCT(($L$4:$L$51=3)*(($K$4:$K$51&gt;K21)+(($K$4:$K$51=K21)*($J$4:$J$51&gt;J21))+(($K$4:$K$51=K21)*($J$4:$J$51=J21)*($G$4:$G$51&gt;G21))+(($K$4:$K$51=K21)*($J$4:$J$51=J21)*($G$4:$G$51=G21)*(ROW($A$4:$A$51)&lt;ROW(A21))))),"")</f>
        <v/>
      </c>
      <c r="N21" s="272">
        <f>IF(COUNTIFS('Match Results'!$C$4:$C$75,$A21,'Match Results'!$H$4:$H$75,"Final")&lt;6,IF(I21=0,"Pending","In play"),IF(L21&lt;=2,"Qualified",IF(AND(L21=3,M21&lt;=8),"Qualified best 3rd","Eliminated")))</f>
        <v/>
      </c>
      <c r="O21" s="399">
        <f>C21</f>
        <v/>
      </c>
      <c r="P21" s="233" t="n"/>
      <c r="Q21" s="233" t="n"/>
      <c r="R21" s="233" t="n"/>
      <c r="S21" s="233" t="n"/>
      <c r="T21" s="233" t="n"/>
      <c r="U21" s="233" t="n"/>
      <c r="V21" s="233" t="n"/>
      <c r="W21" s="233" t="n"/>
      <c r="X21" s="233" t="n"/>
      <c r="Y21" s="233" t="n"/>
      <c r="Z21" s="233" t="n"/>
      <c r="AA21" s="233" t="n"/>
      <c r="AB21" s="233" t="n"/>
      <c r="AC21" s="233" t="n"/>
      <c r="AD21" s="233" t="n"/>
      <c r="AE21" s="233" t="n"/>
      <c r="AF21" s="233" t="n"/>
      <c r="AG21" s="233" t="n"/>
      <c r="AH21" s="233" t="n"/>
      <c r="AI21" s="233" t="n"/>
      <c r="AJ21" s="233" t="n"/>
      <c r="AK21" s="233" t="n"/>
      <c r="AL21" s="233" t="n"/>
      <c r="AM21" s="233" t="n"/>
      <c r="AN21" s="233" t="n"/>
      <c r="AO21" s="233" t="n"/>
      <c r="AP21" s="233" t="n"/>
      <c r="AQ21" s="233" t="n"/>
      <c r="AR21" s="233" t="n"/>
    </row>
    <row r="22" ht="21" customHeight="1" s="28">
      <c r="A22" t="inlineStr">
        <is>
          <t>E</t>
        </is>
      </c>
      <c r="B22" t="n">
        <v>3</v>
      </c>
      <c r="C22" s="399" t="inlineStr">
        <is>
          <t>Côte d'Ivoire</t>
        </is>
      </c>
      <c r="D22" s="272">
        <f>COUNTIFS('Match Results'!$C$4:$C$75,$A22,'Match Results'!$I$4:$I$75,$C22)</f>
        <v/>
      </c>
      <c r="E22" s="272">
        <f>COUNTIFS('Match Results'!$C$4:$C$75,$A22,'Match Results'!$D$4:$D$75,$C22,'Match Results'!$I$4:$I$75,"Draw")+COUNTIFS('Match Results'!$C$4:$C$75,$A22,'Match Results'!$G$4:$G$75,$C22,'Match Results'!$I$4:$I$75,"Draw")</f>
        <v/>
      </c>
      <c r="F22" s="272">
        <f>I22-D22-E22</f>
        <v/>
      </c>
      <c r="G22" s="272">
        <f>SUMIFS('Match Results'!$E$4:$E$75,'Match Results'!$C$4:$C$75,$A22,'Match Results'!$D$4:$D$75,$C22)+SUMIFS('Match Results'!$F$4:$F$75,'Match Results'!$C$4:$C$75,$A22,'Match Results'!$G$4:$G$75,$C22)</f>
        <v/>
      </c>
      <c r="H22" s="272">
        <f>SUMIFS('Match Results'!$F$4:$F$75,'Match Results'!$C$4:$C$75,$A22,'Match Results'!$D$4:$D$75,$C22)+SUMIFS('Match Results'!$E$4:$E$75,'Match Results'!$C$4:$C$75,$A22,'Match Results'!$G$4:$G$75,$C22)</f>
        <v/>
      </c>
      <c r="I22" s="272">
        <f>COUNTIFS('Match Results'!$C$4:$C$75,$A22,'Match Results'!$D$4:$D$75,$C22,'Match Results'!$H$4:$H$75,"Final")+COUNTIFS('Match Results'!$C$4:$C$75,$A22,'Match Results'!$G$4:$G$75,$C22,'Match Results'!$H$4:$H$75,"Final")</f>
        <v/>
      </c>
      <c r="J22" s="272">
        <f>G22-H22</f>
        <v/>
      </c>
      <c r="K22" s="272">
        <f>D22*3+E22</f>
        <v/>
      </c>
      <c r="L22" s="272">
        <f>1+SUMPRODUCT(($A$4:$A$51=$A22)*(($K$4:$K$51&gt;K22)+(($K$4:$K$51=K22)*($J$4:$J$51&gt;J22))+(($K$4:$K$51=K22)*($J$4:$J$51=J22)*($G$4:$G$51&gt;G22))+(($K$4:$K$51=K22)*($J$4:$J$51=J22)*($G$4:$G$51=G22)*($B$4:$B$51&lt;B22))))</f>
        <v/>
      </c>
      <c r="M22" s="272">
        <f>IF(L22=3,1+SUMPRODUCT(($L$4:$L$51=3)*(($K$4:$K$51&gt;K22)+(($K$4:$K$51=K22)*($J$4:$J$51&gt;J22))+(($K$4:$K$51=K22)*($J$4:$J$51=J22)*($G$4:$G$51&gt;G22))+(($K$4:$K$51=K22)*($J$4:$J$51=J22)*($G$4:$G$51=G22)*(ROW($A$4:$A$51)&lt;ROW(A22))))),"")</f>
        <v/>
      </c>
      <c r="N22" s="272">
        <f>IF(COUNTIFS('Match Results'!$C$4:$C$75,$A22,'Match Results'!$H$4:$H$75,"Final")&lt;6,IF(I22=0,"Pending","In play"),IF(L22&lt;=2,"Qualified",IF(AND(L22=3,M22&lt;=8),"Qualified best 3rd","Eliminated")))</f>
        <v/>
      </c>
      <c r="O22" s="399">
        <f>C22</f>
        <v/>
      </c>
      <c r="P22" s="233" t="n"/>
      <c r="Q22" s="233" t="n"/>
      <c r="R22" s="233" t="n"/>
      <c r="S22" s="233" t="n"/>
      <c r="T22" s="233" t="n"/>
      <c r="U22" s="233" t="n"/>
      <c r="V22" s="233" t="n"/>
      <c r="W22" s="233" t="n"/>
      <c r="X22" s="233" t="n"/>
      <c r="Y22" s="233" t="n"/>
      <c r="Z22" s="233" t="n"/>
      <c r="AA22" s="233" t="n"/>
      <c r="AB22" s="233" t="n"/>
      <c r="AC22" s="233" t="n"/>
      <c r="AD22" s="233" t="n"/>
      <c r="AE22" s="233" t="n"/>
      <c r="AF22" s="233" t="n"/>
      <c r="AG22" s="233" t="n"/>
      <c r="AH22" s="233" t="n"/>
      <c r="AI22" s="233" t="n"/>
      <c r="AJ22" s="233" t="n"/>
      <c r="AK22" s="233" t="n"/>
      <c r="AL22" s="233" t="n"/>
      <c r="AM22" s="233" t="n"/>
      <c r="AN22" s="233" t="n"/>
      <c r="AO22" s="233" t="n"/>
      <c r="AP22" s="233" t="n"/>
      <c r="AQ22" s="233" t="n"/>
      <c r="AR22" s="233" t="n"/>
    </row>
    <row r="23" ht="21" customHeight="1" s="28">
      <c r="A23" t="inlineStr">
        <is>
          <t>E</t>
        </is>
      </c>
      <c r="B23" t="n">
        <v>4</v>
      </c>
      <c r="C23" s="399" t="inlineStr">
        <is>
          <t>Ecuador</t>
        </is>
      </c>
      <c r="D23" s="272">
        <f>COUNTIFS('Match Results'!$C$4:$C$75,$A23,'Match Results'!$I$4:$I$75,$C23)</f>
        <v/>
      </c>
      <c r="E23" s="272">
        <f>COUNTIFS('Match Results'!$C$4:$C$75,$A23,'Match Results'!$D$4:$D$75,$C23,'Match Results'!$I$4:$I$75,"Draw")+COUNTIFS('Match Results'!$C$4:$C$75,$A23,'Match Results'!$G$4:$G$75,$C23,'Match Results'!$I$4:$I$75,"Draw")</f>
        <v/>
      </c>
      <c r="F23" s="272">
        <f>I23-D23-E23</f>
        <v/>
      </c>
      <c r="G23" s="272">
        <f>SUMIFS('Match Results'!$E$4:$E$75,'Match Results'!$C$4:$C$75,$A23,'Match Results'!$D$4:$D$75,$C23)+SUMIFS('Match Results'!$F$4:$F$75,'Match Results'!$C$4:$C$75,$A23,'Match Results'!$G$4:$G$75,$C23)</f>
        <v/>
      </c>
      <c r="H23" s="272">
        <f>SUMIFS('Match Results'!$F$4:$F$75,'Match Results'!$C$4:$C$75,$A23,'Match Results'!$D$4:$D$75,$C23)+SUMIFS('Match Results'!$E$4:$E$75,'Match Results'!$C$4:$C$75,$A23,'Match Results'!$G$4:$G$75,$C23)</f>
        <v/>
      </c>
      <c r="I23" s="272">
        <f>COUNTIFS('Match Results'!$C$4:$C$75,$A23,'Match Results'!$D$4:$D$75,$C23,'Match Results'!$H$4:$H$75,"Final")+COUNTIFS('Match Results'!$C$4:$C$75,$A23,'Match Results'!$G$4:$G$75,$C23,'Match Results'!$H$4:$H$75,"Final")</f>
        <v/>
      </c>
      <c r="J23" s="272">
        <f>G23-H23</f>
        <v/>
      </c>
      <c r="K23" s="272">
        <f>D23*3+E23</f>
        <v/>
      </c>
      <c r="L23" s="272">
        <f>1+SUMPRODUCT(($A$4:$A$51=$A23)*(($K$4:$K$51&gt;K23)+(($K$4:$K$51=K23)*($J$4:$J$51&gt;J23))+(($K$4:$K$51=K23)*($J$4:$J$51=J23)*($G$4:$G$51&gt;G23))+(($K$4:$K$51=K23)*($J$4:$J$51=J23)*($G$4:$G$51=G23)*($B$4:$B$51&lt;B23))))</f>
        <v/>
      </c>
      <c r="M23" s="272">
        <f>IF(L23=3,1+SUMPRODUCT(($L$4:$L$51=3)*(($K$4:$K$51&gt;K23)+(($K$4:$K$51=K23)*($J$4:$J$51&gt;J23))+(($K$4:$K$51=K23)*($J$4:$J$51=J23)*($G$4:$G$51&gt;G23))+(($K$4:$K$51=K23)*($J$4:$J$51=J23)*($G$4:$G$51=G23)*(ROW($A$4:$A$51)&lt;ROW(A23))))),"")</f>
        <v/>
      </c>
      <c r="N23" s="272">
        <f>IF(COUNTIFS('Match Results'!$C$4:$C$75,$A23,'Match Results'!$H$4:$H$75,"Final")&lt;6,IF(I23=0,"Pending","In play"),IF(L23&lt;=2,"Qualified",IF(AND(L23=3,M23&lt;=8),"Qualified best 3rd","Eliminated")))</f>
        <v/>
      </c>
      <c r="O23" s="399">
        <f>C23</f>
        <v/>
      </c>
      <c r="P23" s="233" t="n"/>
      <c r="Q23" s="233" t="n"/>
      <c r="R23" s="233" t="n"/>
      <c r="S23" s="233" t="n"/>
      <c r="T23" s="233" t="n"/>
      <c r="U23" s="233" t="n"/>
      <c r="V23" s="233" t="n"/>
      <c r="W23" s="233" t="n"/>
      <c r="X23" s="233" t="n"/>
      <c r="Y23" s="233" t="n"/>
      <c r="Z23" s="233" t="n"/>
      <c r="AA23" s="233" t="n"/>
      <c r="AB23" s="233" t="n"/>
      <c r="AC23" s="233" t="n"/>
      <c r="AD23" s="233" t="n"/>
      <c r="AE23" s="233" t="n"/>
      <c r="AF23" s="233" t="n"/>
      <c r="AG23" s="233" t="n"/>
      <c r="AH23" s="233" t="n"/>
      <c r="AI23" s="233" t="n"/>
      <c r="AJ23" s="233" t="n"/>
      <c r="AK23" s="233" t="n"/>
      <c r="AL23" s="233" t="n"/>
      <c r="AM23" s="233" t="n"/>
      <c r="AN23" s="233" t="n"/>
      <c r="AO23" s="233" t="n"/>
      <c r="AP23" s="233" t="n"/>
      <c r="AQ23" s="233" t="n"/>
      <c r="AR23" s="233" t="n"/>
    </row>
    <row r="24" ht="21" customHeight="1" s="28">
      <c r="A24" t="inlineStr">
        <is>
          <t>F</t>
        </is>
      </c>
      <c r="B24" t="n">
        <v>1</v>
      </c>
      <c r="C24" s="399" t="inlineStr">
        <is>
          <t>Netherlands</t>
        </is>
      </c>
      <c r="D24" s="272">
        <f>COUNTIFS('Match Results'!$C$4:$C$75,$A24,'Match Results'!$I$4:$I$75,$C24)</f>
        <v/>
      </c>
      <c r="E24" s="272">
        <f>COUNTIFS('Match Results'!$C$4:$C$75,$A24,'Match Results'!$D$4:$D$75,$C24,'Match Results'!$I$4:$I$75,"Draw")+COUNTIFS('Match Results'!$C$4:$C$75,$A24,'Match Results'!$G$4:$G$75,$C24,'Match Results'!$I$4:$I$75,"Draw")</f>
        <v/>
      </c>
      <c r="F24" s="272">
        <f>I24-D24-E24</f>
        <v/>
      </c>
      <c r="G24" s="272">
        <f>SUMIFS('Match Results'!$E$4:$E$75,'Match Results'!$C$4:$C$75,$A24,'Match Results'!$D$4:$D$75,$C24)+SUMIFS('Match Results'!$F$4:$F$75,'Match Results'!$C$4:$C$75,$A24,'Match Results'!$G$4:$G$75,$C24)</f>
        <v/>
      </c>
      <c r="H24" s="272">
        <f>SUMIFS('Match Results'!$F$4:$F$75,'Match Results'!$C$4:$C$75,$A24,'Match Results'!$D$4:$D$75,$C24)+SUMIFS('Match Results'!$E$4:$E$75,'Match Results'!$C$4:$C$75,$A24,'Match Results'!$G$4:$G$75,$C24)</f>
        <v/>
      </c>
      <c r="I24" s="272">
        <f>COUNTIFS('Match Results'!$C$4:$C$75,$A24,'Match Results'!$D$4:$D$75,$C24,'Match Results'!$H$4:$H$75,"Final")+COUNTIFS('Match Results'!$C$4:$C$75,$A24,'Match Results'!$G$4:$G$75,$C24,'Match Results'!$H$4:$H$75,"Final")</f>
        <v/>
      </c>
      <c r="J24" s="272">
        <f>G24-H24</f>
        <v/>
      </c>
      <c r="K24" s="272">
        <f>D24*3+E24</f>
        <v/>
      </c>
      <c r="L24" s="272">
        <f>1+SUMPRODUCT(($A$4:$A$51=$A24)*(($K$4:$K$51&gt;K24)+(($K$4:$K$51=K24)*($J$4:$J$51&gt;J24))+(($K$4:$K$51=K24)*($J$4:$J$51=J24)*($G$4:$G$51&gt;G24))+(($K$4:$K$51=K24)*($J$4:$J$51=J24)*($G$4:$G$51=G24)*($B$4:$B$51&lt;B24))))</f>
        <v/>
      </c>
      <c r="M24" s="272">
        <f>IF(L24=3,1+SUMPRODUCT(($L$4:$L$51=3)*(($K$4:$K$51&gt;K24)+(($K$4:$K$51=K24)*($J$4:$J$51&gt;J24))+(($K$4:$K$51=K24)*($J$4:$J$51=J24)*($G$4:$G$51&gt;G24))+(($K$4:$K$51=K24)*($J$4:$J$51=J24)*($G$4:$G$51=G24)*(ROW($A$4:$A$51)&lt;ROW(A24))))),"")</f>
        <v/>
      </c>
      <c r="N24" s="272">
        <f>IF(COUNTIFS('Match Results'!$C$4:$C$75,$A24,'Match Results'!$H$4:$H$75,"Final")&lt;6,IF(I24=0,"Pending","In play"),IF(L24&lt;=2,"Qualified",IF(AND(L24=3,M24&lt;=8),"Qualified best 3rd","Eliminated")))</f>
        <v/>
      </c>
      <c r="O24" s="399">
        <f>C24</f>
        <v/>
      </c>
      <c r="P24" s="233" t="n"/>
      <c r="Q24" s="233" t="n"/>
      <c r="R24" s="233" t="n"/>
      <c r="S24" s="233" t="n"/>
      <c r="T24" s="233" t="n"/>
      <c r="U24" s="233" t="n"/>
      <c r="V24" s="233" t="n"/>
      <c r="W24" s="233" t="n"/>
      <c r="X24" s="233" t="n"/>
      <c r="Y24" s="233" t="n"/>
      <c r="Z24" s="233" t="n"/>
      <c r="AA24" s="233" t="n"/>
      <c r="AB24" s="233" t="n"/>
      <c r="AC24" s="233" t="n"/>
      <c r="AD24" s="233" t="n"/>
      <c r="AE24" s="233" t="n"/>
      <c r="AF24" s="233" t="n"/>
      <c r="AG24" s="233" t="n"/>
      <c r="AH24" s="233" t="n"/>
      <c r="AI24" s="233" t="n"/>
      <c r="AJ24" s="233" t="n"/>
      <c r="AK24" s="233" t="n"/>
      <c r="AL24" s="233" t="n"/>
      <c r="AM24" s="233" t="n"/>
      <c r="AN24" s="233" t="n"/>
      <c r="AO24" s="233" t="n"/>
      <c r="AP24" s="233" t="n"/>
      <c r="AQ24" s="233" t="n"/>
      <c r="AR24" s="233" t="n"/>
    </row>
    <row r="25" ht="21" customHeight="1" s="28">
      <c r="A25" t="inlineStr">
        <is>
          <t>F</t>
        </is>
      </c>
      <c r="B25" t="n">
        <v>2</v>
      </c>
      <c r="C25" s="399" t="inlineStr">
        <is>
          <t>Japan</t>
        </is>
      </c>
      <c r="D25" s="272">
        <f>COUNTIFS('Match Results'!$C$4:$C$75,$A25,'Match Results'!$I$4:$I$75,$C25)</f>
        <v/>
      </c>
      <c r="E25" s="272">
        <f>COUNTIFS('Match Results'!$C$4:$C$75,$A25,'Match Results'!$D$4:$D$75,$C25,'Match Results'!$I$4:$I$75,"Draw")+COUNTIFS('Match Results'!$C$4:$C$75,$A25,'Match Results'!$G$4:$G$75,$C25,'Match Results'!$I$4:$I$75,"Draw")</f>
        <v/>
      </c>
      <c r="F25" s="272">
        <f>I25-D25-E25</f>
        <v/>
      </c>
      <c r="G25" s="272">
        <f>SUMIFS('Match Results'!$E$4:$E$75,'Match Results'!$C$4:$C$75,$A25,'Match Results'!$D$4:$D$75,$C25)+SUMIFS('Match Results'!$F$4:$F$75,'Match Results'!$C$4:$C$75,$A25,'Match Results'!$G$4:$G$75,$C25)</f>
        <v/>
      </c>
      <c r="H25" s="272">
        <f>SUMIFS('Match Results'!$F$4:$F$75,'Match Results'!$C$4:$C$75,$A25,'Match Results'!$D$4:$D$75,$C25)+SUMIFS('Match Results'!$E$4:$E$75,'Match Results'!$C$4:$C$75,$A25,'Match Results'!$G$4:$G$75,$C25)</f>
        <v/>
      </c>
      <c r="I25" s="272">
        <f>COUNTIFS('Match Results'!$C$4:$C$75,$A25,'Match Results'!$D$4:$D$75,$C25,'Match Results'!$H$4:$H$75,"Final")+COUNTIFS('Match Results'!$C$4:$C$75,$A25,'Match Results'!$G$4:$G$75,$C25,'Match Results'!$H$4:$H$75,"Final")</f>
        <v/>
      </c>
      <c r="J25" s="272">
        <f>G25-H25</f>
        <v/>
      </c>
      <c r="K25" s="272">
        <f>D25*3+E25</f>
        <v/>
      </c>
      <c r="L25" s="272">
        <f>1+SUMPRODUCT(($A$4:$A$51=$A25)*(($K$4:$K$51&gt;K25)+(($K$4:$K$51=K25)*($J$4:$J$51&gt;J25))+(($K$4:$K$51=K25)*($J$4:$J$51=J25)*($G$4:$G$51&gt;G25))+(($K$4:$K$51=K25)*($J$4:$J$51=J25)*($G$4:$G$51=G25)*($B$4:$B$51&lt;B25))))</f>
        <v/>
      </c>
      <c r="M25" s="272">
        <f>IF(L25=3,1+SUMPRODUCT(($L$4:$L$51=3)*(($K$4:$K$51&gt;K25)+(($K$4:$K$51=K25)*($J$4:$J$51&gt;J25))+(($K$4:$K$51=K25)*($J$4:$J$51=J25)*($G$4:$G$51&gt;G25))+(($K$4:$K$51=K25)*($J$4:$J$51=J25)*($G$4:$G$51=G25)*(ROW($A$4:$A$51)&lt;ROW(A25))))),"")</f>
        <v/>
      </c>
      <c r="N25" s="272">
        <f>IF(COUNTIFS('Match Results'!$C$4:$C$75,$A25,'Match Results'!$H$4:$H$75,"Final")&lt;6,IF(I25=0,"Pending","In play"),IF(L25&lt;=2,"Qualified",IF(AND(L25=3,M25&lt;=8),"Qualified best 3rd","Eliminated")))</f>
        <v/>
      </c>
      <c r="O25" s="399">
        <f>C25</f>
        <v/>
      </c>
      <c r="P25" s="233" t="n"/>
      <c r="Q25" s="233" t="n"/>
      <c r="R25" s="233" t="n"/>
      <c r="S25" s="233" t="n"/>
      <c r="T25" s="233" t="n"/>
      <c r="U25" s="233" t="n"/>
      <c r="V25" s="233" t="n"/>
      <c r="W25" s="233" t="n"/>
      <c r="X25" s="233" t="n"/>
      <c r="Y25" s="233" t="n"/>
      <c r="Z25" s="233" t="n"/>
      <c r="AA25" s="233" t="n"/>
      <c r="AB25" s="233" t="n"/>
      <c r="AC25" s="233" t="n"/>
      <c r="AD25" s="233" t="n"/>
      <c r="AE25" s="233" t="n"/>
      <c r="AF25" s="233" t="n"/>
      <c r="AG25" s="233" t="n"/>
      <c r="AH25" s="233" t="n"/>
      <c r="AI25" s="233" t="n"/>
      <c r="AJ25" s="233" t="n"/>
      <c r="AK25" s="233" t="n"/>
      <c r="AL25" s="233" t="n"/>
      <c r="AM25" s="233" t="n"/>
      <c r="AN25" s="233" t="n"/>
      <c r="AO25" s="233" t="n"/>
      <c r="AP25" s="233" t="n"/>
      <c r="AQ25" s="233" t="n"/>
      <c r="AR25" s="233" t="n"/>
    </row>
    <row r="26" ht="21" customHeight="1" s="28">
      <c r="A26" t="inlineStr">
        <is>
          <t>F</t>
        </is>
      </c>
      <c r="B26" t="n">
        <v>3</v>
      </c>
      <c r="C26" s="399" t="inlineStr">
        <is>
          <t>Sweden</t>
        </is>
      </c>
      <c r="D26" s="272">
        <f>COUNTIFS('Match Results'!$C$4:$C$75,$A26,'Match Results'!$I$4:$I$75,$C26)</f>
        <v/>
      </c>
      <c r="E26" s="272">
        <f>COUNTIFS('Match Results'!$C$4:$C$75,$A26,'Match Results'!$D$4:$D$75,$C26,'Match Results'!$I$4:$I$75,"Draw")+COUNTIFS('Match Results'!$C$4:$C$75,$A26,'Match Results'!$G$4:$G$75,$C26,'Match Results'!$I$4:$I$75,"Draw")</f>
        <v/>
      </c>
      <c r="F26" s="272">
        <f>I26-D26-E26</f>
        <v/>
      </c>
      <c r="G26" s="272">
        <f>SUMIFS('Match Results'!$E$4:$E$75,'Match Results'!$C$4:$C$75,$A26,'Match Results'!$D$4:$D$75,$C26)+SUMIFS('Match Results'!$F$4:$F$75,'Match Results'!$C$4:$C$75,$A26,'Match Results'!$G$4:$G$75,$C26)</f>
        <v/>
      </c>
      <c r="H26" s="272">
        <f>SUMIFS('Match Results'!$F$4:$F$75,'Match Results'!$C$4:$C$75,$A26,'Match Results'!$D$4:$D$75,$C26)+SUMIFS('Match Results'!$E$4:$E$75,'Match Results'!$C$4:$C$75,$A26,'Match Results'!$G$4:$G$75,$C26)</f>
        <v/>
      </c>
      <c r="I26" s="272">
        <f>COUNTIFS('Match Results'!$C$4:$C$75,$A26,'Match Results'!$D$4:$D$75,$C26,'Match Results'!$H$4:$H$75,"Final")+COUNTIFS('Match Results'!$C$4:$C$75,$A26,'Match Results'!$G$4:$G$75,$C26,'Match Results'!$H$4:$H$75,"Final")</f>
        <v/>
      </c>
      <c r="J26" s="272">
        <f>G26-H26</f>
        <v/>
      </c>
      <c r="K26" s="272">
        <f>D26*3+E26</f>
        <v/>
      </c>
      <c r="L26" s="272">
        <f>1+SUMPRODUCT(($A$4:$A$51=$A26)*(($K$4:$K$51&gt;K26)+(($K$4:$K$51=K26)*($J$4:$J$51&gt;J26))+(($K$4:$K$51=K26)*($J$4:$J$51=J26)*($G$4:$G$51&gt;G26))+(($K$4:$K$51=K26)*($J$4:$J$51=J26)*($G$4:$G$51=G26)*($B$4:$B$51&lt;B26))))</f>
        <v/>
      </c>
      <c r="M26" s="272">
        <f>IF(L26=3,1+SUMPRODUCT(($L$4:$L$51=3)*(($K$4:$K$51&gt;K26)+(($K$4:$K$51=K26)*($J$4:$J$51&gt;J26))+(($K$4:$K$51=K26)*($J$4:$J$51=J26)*($G$4:$G$51&gt;G26))+(($K$4:$K$51=K26)*($J$4:$J$51=J26)*($G$4:$G$51=G26)*(ROW($A$4:$A$51)&lt;ROW(A26))))),"")</f>
        <v/>
      </c>
      <c r="N26" s="272">
        <f>IF(COUNTIFS('Match Results'!$C$4:$C$75,$A26,'Match Results'!$H$4:$H$75,"Final")&lt;6,IF(I26=0,"Pending","In play"),IF(L26&lt;=2,"Qualified",IF(AND(L26=3,M26&lt;=8),"Qualified best 3rd","Eliminated")))</f>
        <v/>
      </c>
      <c r="O26" s="399">
        <f>C26</f>
        <v/>
      </c>
      <c r="P26" s="233" t="n"/>
      <c r="Q26" s="233" t="n"/>
      <c r="R26" s="233" t="n"/>
      <c r="S26" s="233" t="n"/>
      <c r="T26" s="233" t="n"/>
      <c r="U26" s="233" t="n"/>
      <c r="V26" s="233" t="n"/>
      <c r="W26" s="233" t="n"/>
      <c r="X26" s="233" t="n"/>
      <c r="Y26" s="233" t="n"/>
      <c r="Z26" s="233" t="n"/>
      <c r="AA26" s="233" t="n"/>
      <c r="AB26" s="233" t="n"/>
      <c r="AC26" s="233" t="n"/>
      <c r="AD26" s="233" t="n"/>
      <c r="AE26" s="233" t="n"/>
      <c r="AF26" s="233" t="n"/>
      <c r="AG26" s="233" t="n"/>
      <c r="AH26" s="233" t="n"/>
      <c r="AI26" s="233" t="n"/>
      <c r="AJ26" s="233" t="n"/>
      <c r="AK26" s="233" t="n"/>
      <c r="AL26" s="233" t="n"/>
      <c r="AM26" s="233" t="n"/>
      <c r="AN26" s="233" t="n"/>
      <c r="AO26" s="233" t="n"/>
      <c r="AP26" s="233" t="n"/>
      <c r="AQ26" s="233" t="n"/>
      <c r="AR26" s="233" t="n"/>
    </row>
    <row r="27" ht="21" customHeight="1" s="28">
      <c r="A27" t="inlineStr">
        <is>
          <t>F</t>
        </is>
      </c>
      <c r="B27" t="n">
        <v>4</v>
      </c>
      <c r="C27" s="399" t="inlineStr">
        <is>
          <t>Tunisia</t>
        </is>
      </c>
      <c r="D27" s="272">
        <f>COUNTIFS('Match Results'!$C$4:$C$75,$A27,'Match Results'!$I$4:$I$75,$C27)</f>
        <v/>
      </c>
      <c r="E27" s="272">
        <f>COUNTIFS('Match Results'!$C$4:$C$75,$A27,'Match Results'!$D$4:$D$75,$C27,'Match Results'!$I$4:$I$75,"Draw")+COUNTIFS('Match Results'!$C$4:$C$75,$A27,'Match Results'!$G$4:$G$75,$C27,'Match Results'!$I$4:$I$75,"Draw")</f>
        <v/>
      </c>
      <c r="F27" s="272">
        <f>I27-D27-E27</f>
        <v/>
      </c>
      <c r="G27" s="272">
        <f>SUMIFS('Match Results'!$E$4:$E$75,'Match Results'!$C$4:$C$75,$A27,'Match Results'!$D$4:$D$75,$C27)+SUMIFS('Match Results'!$F$4:$F$75,'Match Results'!$C$4:$C$75,$A27,'Match Results'!$G$4:$G$75,$C27)</f>
        <v/>
      </c>
      <c r="H27" s="272">
        <f>SUMIFS('Match Results'!$F$4:$F$75,'Match Results'!$C$4:$C$75,$A27,'Match Results'!$D$4:$D$75,$C27)+SUMIFS('Match Results'!$E$4:$E$75,'Match Results'!$C$4:$C$75,$A27,'Match Results'!$G$4:$G$75,$C27)</f>
        <v/>
      </c>
      <c r="I27" s="272">
        <f>COUNTIFS('Match Results'!$C$4:$C$75,$A27,'Match Results'!$D$4:$D$75,$C27,'Match Results'!$H$4:$H$75,"Final")+COUNTIFS('Match Results'!$C$4:$C$75,$A27,'Match Results'!$G$4:$G$75,$C27,'Match Results'!$H$4:$H$75,"Final")</f>
        <v/>
      </c>
      <c r="J27" s="272">
        <f>G27-H27</f>
        <v/>
      </c>
      <c r="K27" s="272">
        <f>D27*3+E27</f>
        <v/>
      </c>
      <c r="L27" s="272">
        <f>1+SUMPRODUCT(($A$4:$A$51=$A27)*(($K$4:$K$51&gt;K27)+(($K$4:$K$51=K27)*($J$4:$J$51&gt;J27))+(($K$4:$K$51=K27)*($J$4:$J$51=J27)*($G$4:$G$51&gt;G27))+(($K$4:$K$51=K27)*($J$4:$J$51=J27)*($G$4:$G$51=G27)*($B$4:$B$51&lt;B27))))</f>
        <v/>
      </c>
      <c r="M27" s="272">
        <f>IF(L27=3,1+SUMPRODUCT(($L$4:$L$51=3)*(($K$4:$K$51&gt;K27)+(($K$4:$K$51=K27)*($J$4:$J$51&gt;J27))+(($K$4:$K$51=K27)*($J$4:$J$51=J27)*($G$4:$G$51&gt;G27))+(($K$4:$K$51=K27)*($J$4:$J$51=J27)*($G$4:$G$51=G27)*(ROW($A$4:$A$51)&lt;ROW(A27))))),"")</f>
        <v/>
      </c>
      <c r="N27" s="272">
        <f>IF(COUNTIFS('Match Results'!$C$4:$C$75,$A27,'Match Results'!$H$4:$H$75,"Final")&lt;6,IF(I27=0,"Pending","In play"),IF(L27&lt;=2,"Qualified",IF(AND(L27=3,M27&lt;=8),"Qualified best 3rd","Eliminated")))</f>
        <v/>
      </c>
      <c r="O27" s="399">
        <f>C27</f>
        <v/>
      </c>
      <c r="P27" s="233" t="n"/>
      <c r="Q27" s="233" t="n"/>
      <c r="R27" s="233" t="n"/>
      <c r="S27" s="233" t="n"/>
      <c r="T27" s="233" t="n"/>
      <c r="U27" s="233" t="n"/>
      <c r="V27" s="233" t="n"/>
      <c r="W27" s="233" t="n"/>
      <c r="X27" s="233" t="n"/>
      <c r="Y27" s="233" t="n"/>
      <c r="Z27" s="233" t="n"/>
      <c r="AA27" s="233" t="n"/>
      <c r="AB27" s="233" t="n"/>
      <c r="AC27" s="233" t="n"/>
      <c r="AD27" s="233" t="n"/>
      <c r="AE27" s="233" t="n"/>
      <c r="AF27" s="233" t="n"/>
      <c r="AG27" s="233" t="n"/>
      <c r="AH27" s="233" t="n"/>
      <c r="AI27" s="233" t="n"/>
      <c r="AJ27" s="233" t="n"/>
      <c r="AK27" s="233" t="n"/>
      <c r="AL27" s="233" t="n"/>
      <c r="AM27" s="233" t="n"/>
      <c r="AN27" s="233" t="n"/>
      <c r="AO27" s="233" t="n"/>
      <c r="AP27" s="233" t="n"/>
      <c r="AQ27" s="233" t="n"/>
      <c r="AR27" s="233" t="n"/>
    </row>
    <row r="28" ht="21" customHeight="1" s="28">
      <c r="A28" t="inlineStr">
        <is>
          <t>G</t>
        </is>
      </c>
      <c r="B28" t="n">
        <v>1</v>
      </c>
      <c r="C28" s="399" t="inlineStr">
        <is>
          <t>Belgium</t>
        </is>
      </c>
      <c r="D28" s="272">
        <f>COUNTIFS('Match Results'!$C$4:$C$75,$A28,'Match Results'!$I$4:$I$75,$C28)</f>
        <v/>
      </c>
      <c r="E28" s="272">
        <f>COUNTIFS('Match Results'!$C$4:$C$75,$A28,'Match Results'!$D$4:$D$75,$C28,'Match Results'!$I$4:$I$75,"Draw")+COUNTIFS('Match Results'!$C$4:$C$75,$A28,'Match Results'!$G$4:$G$75,$C28,'Match Results'!$I$4:$I$75,"Draw")</f>
        <v/>
      </c>
      <c r="F28" s="272">
        <f>I28-D28-E28</f>
        <v/>
      </c>
      <c r="G28" s="272">
        <f>SUMIFS('Match Results'!$E$4:$E$75,'Match Results'!$C$4:$C$75,$A28,'Match Results'!$D$4:$D$75,$C28)+SUMIFS('Match Results'!$F$4:$F$75,'Match Results'!$C$4:$C$75,$A28,'Match Results'!$G$4:$G$75,$C28)</f>
        <v/>
      </c>
      <c r="H28" s="272">
        <f>SUMIFS('Match Results'!$F$4:$F$75,'Match Results'!$C$4:$C$75,$A28,'Match Results'!$D$4:$D$75,$C28)+SUMIFS('Match Results'!$E$4:$E$75,'Match Results'!$C$4:$C$75,$A28,'Match Results'!$G$4:$G$75,$C28)</f>
        <v/>
      </c>
      <c r="I28" s="272">
        <f>COUNTIFS('Match Results'!$C$4:$C$75,$A28,'Match Results'!$D$4:$D$75,$C28,'Match Results'!$H$4:$H$75,"Final")+COUNTIFS('Match Results'!$C$4:$C$75,$A28,'Match Results'!$G$4:$G$75,$C28,'Match Results'!$H$4:$H$75,"Final")</f>
        <v/>
      </c>
      <c r="J28" s="272">
        <f>G28-H28</f>
        <v/>
      </c>
      <c r="K28" s="272">
        <f>D28*3+E28</f>
        <v/>
      </c>
      <c r="L28" s="272">
        <f>1+SUMPRODUCT(($A$4:$A$51=$A28)*(($K$4:$K$51&gt;K28)+(($K$4:$K$51=K28)*($J$4:$J$51&gt;J28))+(($K$4:$K$51=K28)*($J$4:$J$51=J28)*($G$4:$G$51&gt;G28))+(($K$4:$K$51=K28)*($J$4:$J$51=J28)*($G$4:$G$51=G28)*($B$4:$B$51&lt;B28))))</f>
        <v/>
      </c>
      <c r="M28" s="272">
        <f>IF(L28=3,1+SUMPRODUCT(($L$4:$L$51=3)*(($K$4:$K$51&gt;K28)+(($K$4:$K$51=K28)*($J$4:$J$51&gt;J28))+(($K$4:$K$51=K28)*($J$4:$J$51=J28)*($G$4:$G$51&gt;G28))+(($K$4:$K$51=K28)*($J$4:$J$51=J28)*($G$4:$G$51=G28)*(ROW($A$4:$A$51)&lt;ROW(A28))))),"")</f>
        <v/>
      </c>
      <c r="N28" s="272">
        <f>IF(COUNTIFS('Match Results'!$C$4:$C$75,$A28,'Match Results'!$H$4:$H$75,"Final")&lt;6,IF(I28=0,"Pending","In play"),IF(L28&lt;=2,"Qualified",IF(AND(L28=3,M28&lt;=8),"Qualified best 3rd","Eliminated")))</f>
        <v/>
      </c>
      <c r="O28" s="399">
        <f>C28</f>
        <v/>
      </c>
      <c r="P28" s="233" t="n"/>
      <c r="Q28" s="233" t="n"/>
      <c r="R28" s="233" t="n"/>
      <c r="S28" s="233" t="n"/>
      <c r="T28" s="233" t="n"/>
      <c r="U28" s="233" t="n"/>
      <c r="V28" s="233" t="n"/>
      <c r="W28" s="233" t="n"/>
      <c r="X28" s="233" t="n"/>
      <c r="Y28" s="233" t="n"/>
      <c r="Z28" s="233" t="n"/>
      <c r="AA28" s="233" t="n"/>
      <c r="AB28" s="233" t="n"/>
      <c r="AC28" s="233" t="n"/>
      <c r="AD28" s="233" t="n"/>
      <c r="AE28" s="233" t="n"/>
      <c r="AF28" s="233" t="n"/>
      <c r="AG28" s="233" t="n"/>
      <c r="AH28" s="233" t="n"/>
      <c r="AI28" s="233" t="n"/>
      <c r="AJ28" s="233" t="n"/>
      <c r="AK28" s="233" t="n"/>
      <c r="AL28" s="233" t="n"/>
      <c r="AM28" s="233" t="n"/>
      <c r="AN28" s="233" t="n"/>
      <c r="AO28" s="233" t="n"/>
      <c r="AP28" s="233" t="n"/>
      <c r="AQ28" s="233" t="n"/>
      <c r="AR28" s="233" t="n"/>
    </row>
    <row r="29" ht="21" customHeight="1" s="28">
      <c r="A29" t="inlineStr">
        <is>
          <t>G</t>
        </is>
      </c>
      <c r="B29" t="n">
        <v>2</v>
      </c>
      <c r="C29" s="399" t="inlineStr">
        <is>
          <t>Egypt</t>
        </is>
      </c>
      <c r="D29" s="272">
        <f>COUNTIFS('Match Results'!$C$4:$C$75,$A29,'Match Results'!$I$4:$I$75,$C29)</f>
        <v/>
      </c>
      <c r="E29" s="272">
        <f>COUNTIFS('Match Results'!$C$4:$C$75,$A29,'Match Results'!$D$4:$D$75,$C29,'Match Results'!$I$4:$I$75,"Draw")+COUNTIFS('Match Results'!$C$4:$C$75,$A29,'Match Results'!$G$4:$G$75,$C29,'Match Results'!$I$4:$I$75,"Draw")</f>
        <v/>
      </c>
      <c r="F29" s="272">
        <f>I29-D29-E29</f>
        <v/>
      </c>
      <c r="G29" s="272">
        <f>SUMIFS('Match Results'!$E$4:$E$75,'Match Results'!$C$4:$C$75,$A29,'Match Results'!$D$4:$D$75,$C29)+SUMIFS('Match Results'!$F$4:$F$75,'Match Results'!$C$4:$C$75,$A29,'Match Results'!$G$4:$G$75,$C29)</f>
        <v/>
      </c>
      <c r="H29" s="272">
        <f>SUMIFS('Match Results'!$F$4:$F$75,'Match Results'!$C$4:$C$75,$A29,'Match Results'!$D$4:$D$75,$C29)+SUMIFS('Match Results'!$E$4:$E$75,'Match Results'!$C$4:$C$75,$A29,'Match Results'!$G$4:$G$75,$C29)</f>
        <v/>
      </c>
      <c r="I29" s="272">
        <f>COUNTIFS('Match Results'!$C$4:$C$75,$A29,'Match Results'!$D$4:$D$75,$C29,'Match Results'!$H$4:$H$75,"Final")+COUNTIFS('Match Results'!$C$4:$C$75,$A29,'Match Results'!$G$4:$G$75,$C29,'Match Results'!$H$4:$H$75,"Final")</f>
        <v/>
      </c>
      <c r="J29" s="272">
        <f>G29-H29</f>
        <v/>
      </c>
      <c r="K29" s="272">
        <f>D29*3+E29</f>
        <v/>
      </c>
      <c r="L29" s="272">
        <f>1+SUMPRODUCT(($A$4:$A$51=$A29)*(($K$4:$K$51&gt;K29)+(($K$4:$K$51=K29)*($J$4:$J$51&gt;J29))+(($K$4:$K$51=K29)*($J$4:$J$51=J29)*($G$4:$G$51&gt;G29))+(($K$4:$K$51=K29)*($J$4:$J$51=J29)*($G$4:$G$51=G29)*($B$4:$B$51&lt;B29))))</f>
        <v/>
      </c>
      <c r="M29" s="272">
        <f>IF(L29=3,1+SUMPRODUCT(($L$4:$L$51=3)*(($K$4:$K$51&gt;K29)+(($K$4:$K$51=K29)*($J$4:$J$51&gt;J29))+(($K$4:$K$51=K29)*($J$4:$J$51=J29)*($G$4:$G$51&gt;G29))+(($K$4:$K$51=K29)*($J$4:$J$51=J29)*($G$4:$G$51=G29)*(ROW($A$4:$A$51)&lt;ROW(A29))))),"")</f>
        <v/>
      </c>
      <c r="N29" s="272">
        <f>IF(COUNTIFS('Match Results'!$C$4:$C$75,$A29,'Match Results'!$H$4:$H$75,"Final")&lt;6,IF(I29=0,"Pending","In play"),IF(L29&lt;=2,"Qualified",IF(AND(L29=3,M29&lt;=8),"Qualified best 3rd","Eliminated")))</f>
        <v/>
      </c>
      <c r="O29" s="399">
        <f>C29</f>
        <v/>
      </c>
      <c r="P29" s="233" t="n"/>
      <c r="Q29" s="233" t="n"/>
      <c r="R29" s="233" t="n"/>
      <c r="S29" s="233" t="n"/>
      <c r="T29" s="233" t="n"/>
      <c r="U29" s="233" t="n"/>
      <c r="V29" s="233" t="n"/>
      <c r="W29" s="233" t="n"/>
      <c r="X29" s="233" t="n"/>
      <c r="Y29" s="233" t="n"/>
      <c r="Z29" s="233" t="n"/>
      <c r="AA29" s="233" t="n"/>
      <c r="AB29" s="233" t="n"/>
      <c r="AC29" s="233" t="n"/>
      <c r="AD29" s="233" t="n"/>
      <c r="AE29" s="233" t="n"/>
      <c r="AF29" s="233" t="n"/>
      <c r="AG29" s="233" t="n"/>
      <c r="AH29" s="233" t="n"/>
      <c r="AI29" s="233" t="n"/>
      <c r="AJ29" s="233" t="n"/>
      <c r="AK29" s="233" t="n"/>
      <c r="AL29" s="233" t="n"/>
      <c r="AM29" s="233" t="n"/>
      <c r="AN29" s="233" t="n"/>
      <c r="AO29" s="233" t="n"/>
      <c r="AP29" s="233" t="n"/>
      <c r="AQ29" s="233" t="n"/>
      <c r="AR29" s="233" t="n"/>
    </row>
    <row r="30" ht="21" customHeight="1" s="28">
      <c r="A30" t="inlineStr">
        <is>
          <t>G</t>
        </is>
      </c>
      <c r="B30" t="n">
        <v>3</v>
      </c>
      <c r="C30" s="399" t="inlineStr">
        <is>
          <t>IR Iran</t>
        </is>
      </c>
      <c r="D30" s="272">
        <f>COUNTIFS('Match Results'!$C$4:$C$75,$A30,'Match Results'!$I$4:$I$75,$C30)</f>
        <v/>
      </c>
      <c r="E30" s="272">
        <f>COUNTIFS('Match Results'!$C$4:$C$75,$A30,'Match Results'!$D$4:$D$75,$C30,'Match Results'!$I$4:$I$75,"Draw")+COUNTIFS('Match Results'!$C$4:$C$75,$A30,'Match Results'!$G$4:$G$75,$C30,'Match Results'!$I$4:$I$75,"Draw")</f>
        <v/>
      </c>
      <c r="F30" s="272">
        <f>I30-D30-E30</f>
        <v/>
      </c>
      <c r="G30" s="272">
        <f>SUMIFS('Match Results'!$E$4:$E$75,'Match Results'!$C$4:$C$75,$A30,'Match Results'!$D$4:$D$75,$C30)+SUMIFS('Match Results'!$F$4:$F$75,'Match Results'!$C$4:$C$75,$A30,'Match Results'!$G$4:$G$75,$C30)</f>
        <v/>
      </c>
      <c r="H30" s="272">
        <f>SUMIFS('Match Results'!$F$4:$F$75,'Match Results'!$C$4:$C$75,$A30,'Match Results'!$D$4:$D$75,$C30)+SUMIFS('Match Results'!$E$4:$E$75,'Match Results'!$C$4:$C$75,$A30,'Match Results'!$G$4:$G$75,$C30)</f>
        <v/>
      </c>
      <c r="I30" s="272">
        <f>COUNTIFS('Match Results'!$C$4:$C$75,$A30,'Match Results'!$D$4:$D$75,$C30,'Match Results'!$H$4:$H$75,"Final")+COUNTIFS('Match Results'!$C$4:$C$75,$A30,'Match Results'!$G$4:$G$75,$C30,'Match Results'!$H$4:$H$75,"Final")</f>
        <v/>
      </c>
      <c r="J30" s="272">
        <f>G30-H30</f>
        <v/>
      </c>
      <c r="K30" s="272">
        <f>D30*3+E30</f>
        <v/>
      </c>
      <c r="L30" s="272">
        <f>1+SUMPRODUCT(($A$4:$A$51=$A30)*(($K$4:$K$51&gt;K30)+(($K$4:$K$51=K30)*($J$4:$J$51&gt;J30))+(($K$4:$K$51=K30)*($J$4:$J$51=J30)*($G$4:$G$51&gt;G30))+(($K$4:$K$51=K30)*($J$4:$J$51=J30)*($G$4:$G$51=G30)*($B$4:$B$51&lt;B30))))</f>
        <v/>
      </c>
      <c r="M30" s="272">
        <f>IF(L30=3,1+SUMPRODUCT(($L$4:$L$51=3)*(($K$4:$K$51&gt;K30)+(($K$4:$K$51=K30)*($J$4:$J$51&gt;J30))+(($K$4:$K$51=K30)*($J$4:$J$51=J30)*($G$4:$G$51&gt;G30))+(($K$4:$K$51=K30)*($J$4:$J$51=J30)*($G$4:$G$51=G30)*(ROW($A$4:$A$51)&lt;ROW(A30))))),"")</f>
        <v/>
      </c>
      <c r="N30" s="272">
        <f>IF(COUNTIFS('Match Results'!$C$4:$C$75,$A30,'Match Results'!$H$4:$H$75,"Final")&lt;6,IF(I30=0,"Pending","In play"),IF(L30&lt;=2,"Qualified",IF(AND(L30=3,M30&lt;=8),"Qualified best 3rd","Eliminated")))</f>
        <v/>
      </c>
      <c r="O30" s="399">
        <f>C30</f>
        <v/>
      </c>
      <c r="P30" s="233" t="n"/>
      <c r="Q30" s="233" t="n"/>
      <c r="R30" s="233" t="n"/>
      <c r="S30" s="233" t="n"/>
      <c r="T30" s="233" t="n"/>
      <c r="U30" s="233" t="n"/>
      <c r="V30" s="233" t="n"/>
      <c r="W30" s="233" t="n"/>
      <c r="X30" s="233" t="n"/>
      <c r="Y30" s="233" t="n"/>
      <c r="Z30" s="233" t="n"/>
      <c r="AA30" s="233" t="n"/>
      <c r="AB30" s="233" t="n"/>
      <c r="AC30" s="233" t="n"/>
      <c r="AD30" s="233" t="n"/>
      <c r="AE30" s="233" t="n"/>
      <c r="AF30" s="233" t="n"/>
      <c r="AG30" s="233" t="n"/>
      <c r="AH30" s="233" t="n"/>
      <c r="AI30" s="233" t="n"/>
      <c r="AJ30" s="233" t="n"/>
      <c r="AK30" s="233" t="n"/>
      <c r="AL30" s="233" t="n"/>
      <c r="AM30" s="233" t="n"/>
      <c r="AN30" s="233" t="n"/>
      <c r="AO30" s="233" t="n"/>
      <c r="AP30" s="233" t="n"/>
      <c r="AQ30" s="233" t="n"/>
      <c r="AR30" s="233" t="n"/>
    </row>
    <row r="31" ht="21" customHeight="1" s="28">
      <c r="A31" t="inlineStr">
        <is>
          <t>G</t>
        </is>
      </c>
      <c r="B31" t="n">
        <v>4</v>
      </c>
      <c r="C31" s="399" t="inlineStr">
        <is>
          <t>New Zealand</t>
        </is>
      </c>
      <c r="D31" s="272">
        <f>COUNTIFS('Match Results'!$C$4:$C$75,$A31,'Match Results'!$I$4:$I$75,$C31)</f>
        <v/>
      </c>
      <c r="E31" s="272">
        <f>COUNTIFS('Match Results'!$C$4:$C$75,$A31,'Match Results'!$D$4:$D$75,$C31,'Match Results'!$I$4:$I$75,"Draw")+COUNTIFS('Match Results'!$C$4:$C$75,$A31,'Match Results'!$G$4:$G$75,$C31,'Match Results'!$I$4:$I$75,"Draw")</f>
        <v/>
      </c>
      <c r="F31" s="272">
        <f>I31-D31-E31</f>
        <v/>
      </c>
      <c r="G31" s="272">
        <f>SUMIFS('Match Results'!$E$4:$E$75,'Match Results'!$C$4:$C$75,$A31,'Match Results'!$D$4:$D$75,$C31)+SUMIFS('Match Results'!$F$4:$F$75,'Match Results'!$C$4:$C$75,$A31,'Match Results'!$G$4:$G$75,$C31)</f>
        <v/>
      </c>
      <c r="H31" s="272">
        <f>SUMIFS('Match Results'!$F$4:$F$75,'Match Results'!$C$4:$C$75,$A31,'Match Results'!$D$4:$D$75,$C31)+SUMIFS('Match Results'!$E$4:$E$75,'Match Results'!$C$4:$C$75,$A31,'Match Results'!$G$4:$G$75,$C31)</f>
        <v/>
      </c>
      <c r="I31" s="272">
        <f>COUNTIFS('Match Results'!$C$4:$C$75,$A31,'Match Results'!$D$4:$D$75,$C31,'Match Results'!$H$4:$H$75,"Final")+COUNTIFS('Match Results'!$C$4:$C$75,$A31,'Match Results'!$G$4:$G$75,$C31,'Match Results'!$H$4:$H$75,"Final")</f>
        <v/>
      </c>
      <c r="J31" s="272">
        <f>G31-H31</f>
        <v/>
      </c>
      <c r="K31" s="272">
        <f>D31*3+E31</f>
        <v/>
      </c>
      <c r="L31" s="272">
        <f>1+SUMPRODUCT(($A$4:$A$51=$A31)*(($K$4:$K$51&gt;K31)+(($K$4:$K$51=K31)*($J$4:$J$51&gt;J31))+(($K$4:$K$51=K31)*($J$4:$J$51=J31)*($G$4:$G$51&gt;G31))+(($K$4:$K$51=K31)*($J$4:$J$51=J31)*($G$4:$G$51=G31)*($B$4:$B$51&lt;B31))))</f>
        <v/>
      </c>
      <c r="M31" s="272">
        <f>IF(L31=3,1+SUMPRODUCT(($L$4:$L$51=3)*(($K$4:$K$51&gt;K31)+(($K$4:$K$51=K31)*($J$4:$J$51&gt;J31))+(($K$4:$K$51=K31)*($J$4:$J$51=J31)*($G$4:$G$51&gt;G31))+(($K$4:$K$51=K31)*($J$4:$J$51=J31)*($G$4:$G$51=G31)*(ROW($A$4:$A$51)&lt;ROW(A31))))),"")</f>
        <v/>
      </c>
      <c r="N31" s="272">
        <f>IF(COUNTIFS('Match Results'!$C$4:$C$75,$A31,'Match Results'!$H$4:$H$75,"Final")&lt;6,IF(I31=0,"Pending","In play"),IF(L31&lt;=2,"Qualified",IF(AND(L31=3,M31&lt;=8),"Qualified best 3rd","Eliminated")))</f>
        <v/>
      </c>
      <c r="O31" s="399">
        <f>C31</f>
        <v/>
      </c>
      <c r="P31" s="233" t="n"/>
      <c r="Q31" s="233" t="n"/>
      <c r="R31" s="233" t="n"/>
      <c r="S31" s="233" t="n"/>
      <c r="T31" s="233" t="n"/>
      <c r="U31" s="233" t="n"/>
      <c r="V31" s="233" t="n"/>
      <c r="W31" s="233" t="n"/>
      <c r="X31" s="233" t="n"/>
      <c r="Y31" s="233" t="n"/>
      <c r="Z31" s="233" t="n"/>
      <c r="AA31" s="233" t="n"/>
      <c r="AB31" s="233" t="n"/>
      <c r="AC31" s="233" t="n"/>
      <c r="AD31" s="233" t="n"/>
      <c r="AE31" s="233" t="n"/>
      <c r="AF31" s="233" t="n"/>
      <c r="AG31" s="233" t="n"/>
      <c r="AH31" s="233" t="n"/>
      <c r="AI31" s="233" t="n"/>
      <c r="AJ31" s="233" t="n"/>
      <c r="AK31" s="233" t="n"/>
      <c r="AL31" s="233" t="n"/>
      <c r="AM31" s="233" t="n"/>
      <c r="AN31" s="233" t="n"/>
      <c r="AO31" s="233" t="n"/>
      <c r="AP31" s="233" t="n"/>
      <c r="AQ31" s="233" t="n"/>
      <c r="AR31" s="233" t="n"/>
    </row>
    <row r="32" ht="21" customHeight="1" s="28">
      <c r="A32" t="inlineStr">
        <is>
          <t>H</t>
        </is>
      </c>
      <c r="B32" t="n">
        <v>1</v>
      </c>
      <c r="C32" s="399" t="inlineStr">
        <is>
          <t>Spain</t>
        </is>
      </c>
      <c r="D32" s="272">
        <f>COUNTIFS('Match Results'!$C$4:$C$75,$A32,'Match Results'!$I$4:$I$75,$C32)</f>
        <v/>
      </c>
      <c r="E32" s="272">
        <f>COUNTIFS('Match Results'!$C$4:$C$75,$A32,'Match Results'!$D$4:$D$75,$C32,'Match Results'!$I$4:$I$75,"Draw")+COUNTIFS('Match Results'!$C$4:$C$75,$A32,'Match Results'!$G$4:$G$75,$C32,'Match Results'!$I$4:$I$75,"Draw")</f>
        <v/>
      </c>
      <c r="F32" s="272">
        <f>I32-D32-E32</f>
        <v/>
      </c>
      <c r="G32" s="272">
        <f>SUMIFS('Match Results'!$E$4:$E$75,'Match Results'!$C$4:$C$75,$A32,'Match Results'!$D$4:$D$75,$C32)+SUMIFS('Match Results'!$F$4:$F$75,'Match Results'!$C$4:$C$75,$A32,'Match Results'!$G$4:$G$75,$C32)</f>
        <v/>
      </c>
      <c r="H32" s="272">
        <f>SUMIFS('Match Results'!$F$4:$F$75,'Match Results'!$C$4:$C$75,$A32,'Match Results'!$D$4:$D$75,$C32)+SUMIFS('Match Results'!$E$4:$E$75,'Match Results'!$C$4:$C$75,$A32,'Match Results'!$G$4:$G$75,$C32)</f>
        <v/>
      </c>
      <c r="I32" s="272">
        <f>COUNTIFS('Match Results'!$C$4:$C$75,$A32,'Match Results'!$D$4:$D$75,$C32,'Match Results'!$H$4:$H$75,"Final")+COUNTIFS('Match Results'!$C$4:$C$75,$A32,'Match Results'!$G$4:$G$75,$C32,'Match Results'!$H$4:$H$75,"Final")</f>
        <v/>
      </c>
      <c r="J32" s="272">
        <f>G32-H32</f>
        <v/>
      </c>
      <c r="K32" s="272">
        <f>D32*3+E32</f>
        <v/>
      </c>
      <c r="L32" s="272">
        <f>1+SUMPRODUCT(($A$4:$A$51=$A32)*(($K$4:$K$51&gt;K32)+(($K$4:$K$51=K32)*($J$4:$J$51&gt;J32))+(($K$4:$K$51=K32)*($J$4:$J$51=J32)*($G$4:$G$51&gt;G32))+(($K$4:$K$51=K32)*($J$4:$J$51=J32)*($G$4:$G$51=G32)*($B$4:$B$51&lt;B32))))</f>
        <v/>
      </c>
      <c r="M32" s="272">
        <f>IF(L32=3,1+SUMPRODUCT(($L$4:$L$51=3)*(($K$4:$K$51&gt;K32)+(($K$4:$K$51=K32)*($J$4:$J$51&gt;J32))+(($K$4:$K$51=K32)*($J$4:$J$51=J32)*($G$4:$G$51&gt;G32))+(($K$4:$K$51=K32)*($J$4:$J$51=J32)*($G$4:$G$51=G32)*(ROW($A$4:$A$51)&lt;ROW(A32))))),"")</f>
        <v/>
      </c>
      <c r="N32" s="272">
        <f>IF(COUNTIFS('Match Results'!$C$4:$C$75,$A32,'Match Results'!$H$4:$H$75,"Final")&lt;6,IF(I32=0,"Pending","In play"),IF(L32&lt;=2,"Qualified",IF(AND(L32=3,M32&lt;=8),"Qualified best 3rd","Eliminated")))</f>
        <v/>
      </c>
      <c r="O32" s="399">
        <f>C32</f>
        <v/>
      </c>
      <c r="P32" s="233" t="n"/>
      <c r="Q32" s="233" t="n"/>
      <c r="R32" s="233" t="n"/>
      <c r="S32" s="233" t="n"/>
      <c r="T32" s="233" t="n"/>
      <c r="U32" s="233" t="n"/>
      <c r="V32" s="233" t="n"/>
      <c r="W32" s="233" t="n"/>
      <c r="X32" s="233" t="n"/>
      <c r="Y32" s="233" t="n"/>
      <c r="Z32" s="233" t="n"/>
      <c r="AA32" s="233" t="n"/>
      <c r="AB32" s="233" t="n"/>
      <c r="AC32" s="233" t="n"/>
      <c r="AD32" s="233" t="n"/>
      <c r="AE32" s="233" t="n"/>
      <c r="AF32" s="233" t="n"/>
      <c r="AG32" s="233" t="n"/>
      <c r="AH32" s="233" t="n"/>
      <c r="AI32" s="233" t="n"/>
      <c r="AJ32" s="233" t="n"/>
      <c r="AK32" s="233" t="n"/>
      <c r="AL32" s="233" t="n"/>
      <c r="AM32" s="233" t="n"/>
      <c r="AN32" s="233" t="n"/>
      <c r="AO32" s="233" t="n"/>
      <c r="AP32" s="233" t="n"/>
      <c r="AQ32" s="233" t="n"/>
      <c r="AR32" s="233" t="n"/>
    </row>
    <row r="33" ht="21" customHeight="1" s="28">
      <c r="A33" t="inlineStr">
        <is>
          <t>H</t>
        </is>
      </c>
      <c r="B33" t="n">
        <v>2</v>
      </c>
      <c r="C33" s="399" t="inlineStr">
        <is>
          <t>Cabo Verde</t>
        </is>
      </c>
      <c r="D33" s="272">
        <f>COUNTIFS('Match Results'!$C$4:$C$75,$A33,'Match Results'!$I$4:$I$75,$C33)</f>
        <v/>
      </c>
      <c r="E33" s="272">
        <f>COUNTIFS('Match Results'!$C$4:$C$75,$A33,'Match Results'!$D$4:$D$75,$C33,'Match Results'!$I$4:$I$75,"Draw")+COUNTIFS('Match Results'!$C$4:$C$75,$A33,'Match Results'!$G$4:$G$75,$C33,'Match Results'!$I$4:$I$75,"Draw")</f>
        <v/>
      </c>
      <c r="F33" s="272">
        <f>I33-D33-E33</f>
        <v/>
      </c>
      <c r="G33" s="272">
        <f>SUMIFS('Match Results'!$E$4:$E$75,'Match Results'!$C$4:$C$75,$A33,'Match Results'!$D$4:$D$75,$C33)+SUMIFS('Match Results'!$F$4:$F$75,'Match Results'!$C$4:$C$75,$A33,'Match Results'!$G$4:$G$75,$C33)</f>
        <v/>
      </c>
      <c r="H33" s="272">
        <f>SUMIFS('Match Results'!$F$4:$F$75,'Match Results'!$C$4:$C$75,$A33,'Match Results'!$D$4:$D$75,$C33)+SUMIFS('Match Results'!$E$4:$E$75,'Match Results'!$C$4:$C$75,$A33,'Match Results'!$G$4:$G$75,$C33)</f>
        <v/>
      </c>
      <c r="I33" s="272">
        <f>COUNTIFS('Match Results'!$C$4:$C$75,$A33,'Match Results'!$D$4:$D$75,$C33,'Match Results'!$H$4:$H$75,"Final")+COUNTIFS('Match Results'!$C$4:$C$75,$A33,'Match Results'!$G$4:$G$75,$C33,'Match Results'!$H$4:$H$75,"Final")</f>
        <v/>
      </c>
      <c r="J33" s="272">
        <f>G33-H33</f>
        <v/>
      </c>
      <c r="K33" s="272">
        <f>D33*3+E33</f>
        <v/>
      </c>
      <c r="L33" s="272">
        <f>1+SUMPRODUCT(($A$4:$A$51=$A33)*(($K$4:$K$51&gt;K33)+(($K$4:$K$51=K33)*($J$4:$J$51&gt;J33))+(($K$4:$K$51=K33)*($J$4:$J$51=J33)*($G$4:$G$51&gt;G33))+(($K$4:$K$51=K33)*($J$4:$J$51=J33)*($G$4:$G$51=G33)*($B$4:$B$51&lt;B33))))</f>
        <v/>
      </c>
      <c r="M33" s="272">
        <f>IF(L33=3,1+SUMPRODUCT(($L$4:$L$51=3)*(($K$4:$K$51&gt;K33)+(($K$4:$K$51=K33)*($J$4:$J$51&gt;J33))+(($K$4:$K$51=K33)*($J$4:$J$51=J33)*($G$4:$G$51&gt;G33))+(($K$4:$K$51=K33)*($J$4:$J$51=J33)*($G$4:$G$51=G33)*(ROW($A$4:$A$51)&lt;ROW(A33))))),"")</f>
        <v/>
      </c>
      <c r="N33" s="272">
        <f>IF(COUNTIFS('Match Results'!$C$4:$C$75,$A33,'Match Results'!$H$4:$H$75,"Final")&lt;6,IF(I33=0,"Pending","In play"),IF(L33&lt;=2,"Qualified",IF(AND(L33=3,M33&lt;=8),"Qualified best 3rd","Eliminated")))</f>
        <v/>
      </c>
      <c r="O33" s="399">
        <f>C33</f>
        <v/>
      </c>
      <c r="P33" s="233" t="n"/>
      <c r="Q33" s="233" t="n"/>
      <c r="R33" s="233" t="n"/>
      <c r="S33" s="233" t="n"/>
      <c r="T33" s="233" t="n"/>
      <c r="U33" s="233" t="n"/>
      <c r="V33" s="233" t="n"/>
      <c r="W33" s="233" t="n"/>
      <c r="X33" s="233" t="n"/>
      <c r="Y33" s="233" t="n"/>
      <c r="Z33" s="233" t="n"/>
      <c r="AA33" s="233" t="n"/>
      <c r="AB33" s="233" t="n"/>
      <c r="AC33" s="233" t="n"/>
      <c r="AD33" s="233" t="n"/>
      <c r="AE33" s="233" t="n"/>
      <c r="AF33" s="233" t="n"/>
      <c r="AG33" s="233" t="n"/>
      <c r="AH33" s="233" t="n"/>
      <c r="AI33" s="233" t="n"/>
      <c r="AJ33" s="233" t="n"/>
      <c r="AK33" s="233" t="n"/>
      <c r="AL33" s="233" t="n"/>
      <c r="AM33" s="233" t="n"/>
      <c r="AN33" s="233" t="n"/>
      <c r="AO33" s="233" t="n"/>
      <c r="AP33" s="233" t="n"/>
      <c r="AQ33" s="233" t="n"/>
      <c r="AR33" s="233" t="n"/>
    </row>
    <row r="34" ht="21" customHeight="1" s="28">
      <c r="A34" t="inlineStr">
        <is>
          <t>H</t>
        </is>
      </c>
      <c r="B34" t="n">
        <v>3</v>
      </c>
      <c r="C34" s="399" t="inlineStr">
        <is>
          <t>Saudi Arabia</t>
        </is>
      </c>
      <c r="D34" s="272">
        <f>COUNTIFS('Match Results'!$C$4:$C$75,$A34,'Match Results'!$I$4:$I$75,$C34)</f>
        <v/>
      </c>
      <c r="E34" s="272">
        <f>COUNTIFS('Match Results'!$C$4:$C$75,$A34,'Match Results'!$D$4:$D$75,$C34,'Match Results'!$I$4:$I$75,"Draw")+COUNTIFS('Match Results'!$C$4:$C$75,$A34,'Match Results'!$G$4:$G$75,$C34,'Match Results'!$I$4:$I$75,"Draw")</f>
        <v/>
      </c>
      <c r="F34" s="272">
        <f>I34-D34-E34</f>
        <v/>
      </c>
      <c r="G34" s="272">
        <f>SUMIFS('Match Results'!$E$4:$E$75,'Match Results'!$C$4:$C$75,$A34,'Match Results'!$D$4:$D$75,$C34)+SUMIFS('Match Results'!$F$4:$F$75,'Match Results'!$C$4:$C$75,$A34,'Match Results'!$G$4:$G$75,$C34)</f>
        <v/>
      </c>
      <c r="H34" s="272">
        <f>SUMIFS('Match Results'!$F$4:$F$75,'Match Results'!$C$4:$C$75,$A34,'Match Results'!$D$4:$D$75,$C34)+SUMIFS('Match Results'!$E$4:$E$75,'Match Results'!$C$4:$C$75,$A34,'Match Results'!$G$4:$G$75,$C34)</f>
        <v/>
      </c>
      <c r="I34" s="272">
        <f>COUNTIFS('Match Results'!$C$4:$C$75,$A34,'Match Results'!$D$4:$D$75,$C34,'Match Results'!$H$4:$H$75,"Final")+COUNTIFS('Match Results'!$C$4:$C$75,$A34,'Match Results'!$G$4:$G$75,$C34,'Match Results'!$H$4:$H$75,"Final")</f>
        <v/>
      </c>
      <c r="J34" s="272">
        <f>G34-H34</f>
        <v/>
      </c>
      <c r="K34" s="272">
        <f>D34*3+E34</f>
        <v/>
      </c>
      <c r="L34" s="272">
        <f>1+SUMPRODUCT(($A$4:$A$51=$A34)*(($K$4:$K$51&gt;K34)+(($K$4:$K$51=K34)*($J$4:$J$51&gt;J34))+(($K$4:$K$51=K34)*($J$4:$J$51=J34)*($G$4:$G$51&gt;G34))+(($K$4:$K$51=K34)*($J$4:$J$51=J34)*($G$4:$G$51=G34)*($B$4:$B$51&lt;B34))))</f>
        <v/>
      </c>
      <c r="M34" s="272">
        <f>IF(L34=3,1+SUMPRODUCT(($L$4:$L$51=3)*(($K$4:$K$51&gt;K34)+(($K$4:$K$51=K34)*($J$4:$J$51&gt;J34))+(($K$4:$K$51=K34)*($J$4:$J$51=J34)*($G$4:$G$51&gt;G34))+(($K$4:$K$51=K34)*($J$4:$J$51=J34)*($G$4:$G$51=G34)*(ROW($A$4:$A$51)&lt;ROW(A34))))),"")</f>
        <v/>
      </c>
      <c r="N34" s="272">
        <f>IF(COUNTIFS('Match Results'!$C$4:$C$75,$A34,'Match Results'!$H$4:$H$75,"Final")&lt;6,IF(I34=0,"Pending","In play"),IF(L34&lt;=2,"Qualified",IF(AND(L34=3,M34&lt;=8),"Qualified best 3rd","Eliminated")))</f>
        <v/>
      </c>
      <c r="O34" s="399">
        <f>C34</f>
        <v/>
      </c>
      <c r="P34" s="233" t="n"/>
      <c r="Q34" s="233" t="n"/>
      <c r="R34" s="233" t="n"/>
      <c r="S34" s="233" t="n"/>
      <c r="T34" s="233" t="n"/>
      <c r="U34" s="233" t="n"/>
      <c r="V34" s="233" t="n"/>
      <c r="W34" s="233" t="n"/>
      <c r="X34" s="233" t="n"/>
      <c r="Y34" s="233" t="n"/>
      <c r="Z34" s="233" t="n"/>
      <c r="AA34" s="233" t="n"/>
      <c r="AB34" s="233" t="n"/>
      <c r="AC34" s="233" t="n"/>
      <c r="AD34" s="233" t="n"/>
      <c r="AE34" s="233" t="n"/>
      <c r="AF34" s="233" t="n"/>
      <c r="AG34" s="233" t="n"/>
      <c r="AH34" s="233" t="n"/>
      <c r="AI34" s="233" t="n"/>
      <c r="AJ34" s="233" t="n"/>
      <c r="AK34" s="233" t="n"/>
      <c r="AL34" s="233" t="n"/>
      <c r="AM34" s="233" t="n"/>
      <c r="AN34" s="233" t="n"/>
      <c r="AO34" s="233" t="n"/>
      <c r="AP34" s="233" t="n"/>
      <c r="AQ34" s="233" t="n"/>
      <c r="AR34" s="233" t="n"/>
    </row>
    <row r="35" ht="21" customHeight="1" s="28">
      <c r="A35" t="inlineStr">
        <is>
          <t>H</t>
        </is>
      </c>
      <c r="B35" t="n">
        <v>4</v>
      </c>
      <c r="C35" s="399" t="inlineStr">
        <is>
          <t>Uruguay</t>
        </is>
      </c>
      <c r="D35" s="272">
        <f>COUNTIFS('Match Results'!$C$4:$C$75,$A35,'Match Results'!$I$4:$I$75,$C35)</f>
        <v/>
      </c>
      <c r="E35" s="272">
        <f>COUNTIFS('Match Results'!$C$4:$C$75,$A35,'Match Results'!$D$4:$D$75,$C35,'Match Results'!$I$4:$I$75,"Draw")+COUNTIFS('Match Results'!$C$4:$C$75,$A35,'Match Results'!$G$4:$G$75,$C35,'Match Results'!$I$4:$I$75,"Draw")</f>
        <v/>
      </c>
      <c r="F35" s="272">
        <f>I35-D35-E35</f>
        <v/>
      </c>
      <c r="G35" s="272">
        <f>SUMIFS('Match Results'!$E$4:$E$75,'Match Results'!$C$4:$C$75,$A35,'Match Results'!$D$4:$D$75,$C35)+SUMIFS('Match Results'!$F$4:$F$75,'Match Results'!$C$4:$C$75,$A35,'Match Results'!$G$4:$G$75,$C35)</f>
        <v/>
      </c>
      <c r="H35" s="272">
        <f>SUMIFS('Match Results'!$F$4:$F$75,'Match Results'!$C$4:$C$75,$A35,'Match Results'!$D$4:$D$75,$C35)+SUMIFS('Match Results'!$E$4:$E$75,'Match Results'!$C$4:$C$75,$A35,'Match Results'!$G$4:$G$75,$C35)</f>
        <v/>
      </c>
      <c r="I35" s="272">
        <f>COUNTIFS('Match Results'!$C$4:$C$75,$A35,'Match Results'!$D$4:$D$75,$C35,'Match Results'!$H$4:$H$75,"Final")+COUNTIFS('Match Results'!$C$4:$C$75,$A35,'Match Results'!$G$4:$G$75,$C35,'Match Results'!$H$4:$H$75,"Final")</f>
        <v/>
      </c>
      <c r="J35" s="272">
        <f>G35-H35</f>
        <v/>
      </c>
      <c r="K35" s="272">
        <f>D35*3+E35</f>
        <v/>
      </c>
      <c r="L35" s="272">
        <f>1+SUMPRODUCT(($A$4:$A$51=$A35)*(($K$4:$K$51&gt;K35)+(($K$4:$K$51=K35)*($J$4:$J$51&gt;J35))+(($K$4:$K$51=K35)*($J$4:$J$51=J35)*($G$4:$G$51&gt;G35))+(($K$4:$K$51=K35)*($J$4:$J$51=J35)*($G$4:$G$51=G35)*($B$4:$B$51&lt;B35))))</f>
        <v/>
      </c>
      <c r="M35" s="272">
        <f>IF(L35=3,1+SUMPRODUCT(($L$4:$L$51=3)*(($K$4:$K$51&gt;K35)+(($K$4:$K$51=K35)*($J$4:$J$51&gt;J35))+(($K$4:$K$51=K35)*($J$4:$J$51=J35)*($G$4:$G$51&gt;G35))+(($K$4:$K$51=K35)*($J$4:$J$51=J35)*($G$4:$G$51=G35)*(ROW($A$4:$A$51)&lt;ROW(A35))))),"")</f>
        <v/>
      </c>
      <c r="N35" s="272">
        <f>IF(COUNTIFS('Match Results'!$C$4:$C$75,$A35,'Match Results'!$H$4:$H$75,"Final")&lt;6,IF(I35=0,"Pending","In play"),IF(L35&lt;=2,"Qualified",IF(AND(L35=3,M35&lt;=8),"Qualified best 3rd","Eliminated")))</f>
        <v/>
      </c>
      <c r="O35" s="399">
        <f>C35</f>
        <v/>
      </c>
      <c r="P35" s="233" t="n"/>
      <c r="Q35" s="233" t="n"/>
      <c r="R35" s="233" t="n"/>
      <c r="S35" s="233" t="n"/>
      <c r="T35" s="233" t="n"/>
      <c r="U35" s="233" t="n"/>
      <c r="V35" s="233" t="n"/>
      <c r="W35" s="233" t="n"/>
      <c r="X35" s="233" t="n"/>
      <c r="Y35" s="233" t="n"/>
      <c r="Z35" s="233" t="n"/>
      <c r="AA35" s="233" t="n"/>
      <c r="AB35" s="233" t="n"/>
      <c r="AC35" s="233" t="n"/>
      <c r="AD35" s="233" t="n"/>
      <c r="AE35" s="233" t="n"/>
      <c r="AF35" s="233" t="n"/>
      <c r="AG35" s="233" t="n"/>
      <c r="AH35" s="233" t="n"/>
      <c r="AI35" s="233" t="n"/>
      <c r="AJ35" s="233" t="n"/>
      <c r="AK35" s="233" t="n"/>
      <c r="AL35" s="233" t="n"/>
      <c r="AM35" s="233" t="n"/>
      <c r="AN35" s="233" t="n"/>
      <c r="AO35" s="233" t="n"/>
      <c r="AP35" s="233" t="n"/>
      <c r="AQ35" s="233" t="n"/>
      <c r="AR35" s="233" t="n"/>
    </row>
    <row r="36" ht="21" customHeight="1" s="28">
      <c r="A36" t="inlineStr">
        <is>
          <t>I</t>
        </is>
      </c>
      <c r="B36" t="n">
        <v>1</v>
      </c>
      <c r="C36" s="399" t="inlineStr">
        <is>
          <t>France</t>
        </is>
      </c>
      <c r="D36" s="272">
        <f>COUNTIFS('Match Results'!$C$4:$C$75,$A36,'Match Results'!$I$4:$I$75,$C36)</f>
        <v/>
      </c>
      <c r="E36" s="272">
        <f>COUNTIFS('Match Results'!$C$4:$C$75,$A36,'Match Results'!$D$4:$D$75,$C36,'Match Results'!$I$4:$I$75,"Draw")+COUNTIFS('Match Results'!$C$4:$C$75,$A36,'Match Results'!$G$4:$G$75,$C36,'Match Results'!$I$4:$I$75,"Draw")</f>
        <v/>
      </c>
      <c r="F36" s="272">
        <f>I36-D36-E36</f>
        <v/>
      </c>
      <c r="G36" s="272">
        <f>SUMIFS('Match Results'!$E$4:$E$75,'Match Results'!$C$4:$C$75,$A36,'Match Results'!$D$4:$D$75,$C36)+SUMIFS('Match Results'!$F$4:$F$75,'Match Results'!$C$4:$C$75,$A36,'Match Results'!$G$4:$G$75,$C36)</f>
        <v/>
      </c>
      <c r="H36" s="272">
        <f>SUMIFS('Match Results'!$F$4:$F$75,'Match Results'!$C$4:$C$75,$A36,'Match Results'!$D$4:$D$75,$C36)+SUMIFS('Match Results'!$E$4:$E$75,'Match Results'!$C$4:$C$75,$A36,'Match Results'!$G$4:$G$75,$C36)</f>
        <v/>
      </c>
      <c r="I36" s="272">
        <f>COUNTIFS('Match Results'!$C$4:$C$75,$A36,'Match Results'!$D$4:$D$75,$C36,'Match Results'!$H$4:$H$75,"Final")+COUNTIFS('Match Results'!$C$4:$C$75,$A36,'Match Results'!$G$4:$G$75,$C36,'Match Results'!$H$4:$H$75,"Final")</f>
        <v/>
      </c>
      <c r="J36" s="272">
        <f>G36-H36</f>
        <v/>
      </c>
      <c r="K36" s="272">
        <f>D36*3+E36</f>
        <v/>
      </c>
      <c r="L36" s="272">
        <f>1+SUMPRODUCT(($A$4:$A$51=$A36)*(($K$4:$K$51&gt;K36)+(($K$4:$K$51=K36)*($J$4:$J$51&gt;J36))+(($K$4:$K$51=K36)*($J$4:$J$51=J36)*($G$4:$G$51&gt;G36))+(($K$4:$K$51=K36)*($J$4:$J$51=J36)*($G$4:$G$51=G36)*($B$4:$B$51&lt;B36))))</f>
        <v/>
      </c>
      <c r="M36" s="272">
        <f>IF(L36=3,1+SUMPRODUCT(($L$4:$L$51=3)*(($K$4:$K$51&gt;K36)+(($K$4:$K$51=K36)*($J$4:$J$51&gt;J36))+(($K$4:$K$51=K36)*($J$4:$J$51=J36)*($G$4:$G$51&gt;G36))+(($K$4:$K$51=K36)*($J$4:$J$51=J36)*($G$4:$G$51=G36)*(ROW($A$4:$A$51)&lt;ROW(A36))))),"")</f>
        <v/>
      </c>
      <c r="N36" s="272">
        <f>IF(COUNTIFS('Match Results'!$C$4:$C$75,$A36,'Match Results'!$H$4:$H$75,"Final")&lt;6,IF(I36=0,"Pending","In play"),IF(L36&lt;=2,"Qualified",IF(AND(L36=3,M36&lt;=8),"Qualified best 3rd","Eliminated")))</f>
        <v/>
      </c>
      <c r="O36" s="399">
        <f>C36</f>
        <v/>
      </c>
      <c r="P36" s="233" t="n"/>
      <c r="Q36" s="233" t="n"/>
      <c r="R36" s="233" t="n"/>
      <c r="S36" s="233" t="n"/>
      <c r="T36" s="233" t="n"/>
      <c r="U36" s="233" t="n"/>
      <c r="V36" s="233" t="n"/>
      <c r="W36" s="233" t="n"/>
      <c r="X36" s="233" t="n"/>
      <c r="Y36" s="233" t="n"/>
      <c r="Z36" s="233" t="n"/>
      <c r="AA36" s="233" t="n"/>
      <c r="AB36" s="233" t="n"/>
      <c r="AC36" s="233" t="n"/>
      <c r="AD36" s="233" t="n"/>
      <c r="AE36" s="233" t="n"/>
      <c r="AF36" s="233" t="n"/>
      <c r="AG36" s="233" t="n"/>
      <c r="AH36" s="233" t="n"/>
      <c r="AI36" s="233" t="n"/>
      <c r="AJ36" s="233" t="n"/>
      <c r="AK36" s="233" t="n"/>
      <c r="AL36" s="233" t="n"/>
      <c r="AM36" s="233" t="n"/>
      <c r="AN36" s="233" t="n"/>
      <c r="AO36" s="233" t="n"/>
      <c r="AP36" s="233" t="n"/>
      <c r="AQ36" s="233" t="n"/>
      <c r="AR36" s="233" t="n"/>
    </row>
    <row r="37" ht="21" customHeight="1" s="28">
      <c r="A37" t="inlineStr">
        <is>
          <t>I</t>
        </is>
      </c>
      <c r="B37" t="n">
        <v>2</v>
      </c>
      <c r="C37" s="399" t="inlineStr">
        <is>
          <t>Senegal</t>
        </is>
      </c>
      <c r="D37" s="272">
        <f>COUNTIFS('Match Results'!$C$4:$C$75,$A37,'Match Results'!$I$4:$I$75,$C37)</f>
        <v/>
      </c>
      <c r="E37" s="272">
        <f>COUNTIFS('Match Results'!$C$4:$C$75,$A37,'Match Results'!$D$4:$D$75,$C37,'Match Results'!$I$4:$I$75,"Draw")+COUNTIFS('Match Results'!$C$4:$C$75,$A37,'Match Results'!$G$4:$G$75,$C37,'Match Results'!$I$4:$I$75,"Draw")</f>
        <v/>
      </c>
      <c r="F37" s="272">
        <f>I37-D37-E37</f>
        <v/>
      </c>
      <c r="G37" s="272">
        <f>SUMIFS('Match Results'!$E$4:$E$75,'Match Results'!$C$4:$C$75,$A37,'Match Results'!$D$4:$D$75,$C37)+SUMIFS('Match Results'!$F$4:$F$75,'Match Results'!$C$4:$C$75,$A37,'Match Results'!$G$4:$G$75,$C37)</f>
        <v/>
      </c>
      <c r="H37" s="272">
        <f>SUMIFS('Match Results'!$F$4:$F$75,'Match Results'!$C$4:$C$75,$A37,'Match Results'!$D$4:$D$75,$C37)+SUMIFS('Match Results'!$E$4:$E$75,'Match Results'!$C$4:$C$75,$A37,'Match Results'!$G$4:$G$75,$C37)</f>
        <v/>
      </c>
      <c r="I37" s="272">
        <f>COUNTIFS('Match Results'!$C$4:$C$75,$A37,'Match Results'!$D$4:$D$75,$C37,'Match Results'!$H$4:$H$75,"Final")+COUNTIFS('Match Results'!$C$4:$C$75,$A37,'Match Results'!$G$4:$G$75,$C37,'Match Results'!$H$4:$H$75,"Final")</f>
        <v/>
      </c>
      <c r="J37" s="272">
        <f>G37-H37</f>
        <v/>
      </c>
      <c r="K37" s="272">
        <f>D37*3+E37</f>
        <v/>
      </c>
      <c r="L37" s="272">
        <f>1+SUMPRODUCT(($A$4:$A$51=$A37)*(($K$4:$K$51&gt;K37)+(($K$4:$K$51=K37)*($J$4:$J$51&gt;J37))+(($K$4:$K$51=K37)*($J$4:$J$51=J37)*($G$4:$G$51&gt;G37))+(($K$4:$K$51=K37)*($J$4:$J$51=J37)*($G$4:$G$51=G37)*($B$4:$B$51&lt;B37))))</f>
        <v/>
      </c>
      <c r="M37" s="272">
        <f>IF(L37=3,1+SUMPRODUCT(($L$4:$L$51=3)*(($K$4:$K$51&gt;K37)+(($K$4:$K$51=K37)*($J$4:$J$51&gt;J37))+(($K$4:$K$51=K37)*($J$4:$J$51=J37)*($G$4:$G$51&gt;G37))+(($K$4:$K$51=K37)*($J$4:$J$51=J37)*($G$4:$G$51=G37)*(ROW($A$4:$A$51)&lt;ROW(A37))))),"")</f>
        <v/>
      </c>
      <c r="N37" s="272">
        <f>IF(COUNTIFS('Match Results'!$C$4:$C$75,$A37,'Match Results'!$H$4:$H$75,"Final")&lt;6,IF(I37=0,"Pending","In play"),IF(L37&lt;=2,"Qualified",IF(AND(L37=3,M37&lt;=8),"Qualified best 3rd","Eliminated")))</f>
        <v/>
      </c>
      <c r="O37" s="399">
        <f>C37</f>
        <v/>
      </c>
      <c r="P37" s="233" t="n"/>
      <c r="Q37" s="233" t="n"/>
      <c r="R37" s="233" t="n"/>
      <c r="S37" s="233" t="n"/>
      <c r="T37" s="233" t="n"/>
      <c r="U37" s="233" t="n"/>
      <c r="V37" s="233" t="n"/>
      <c r="W37" s="233" t="n"/>
      <c r="X37" s="233" t="n"/>
      <c r="Y37" s="233" t="n"/>
      <c r="Z37" s="233" t="n"/>
      <c r="AA37" s="233" t="n"/>
      <c r="AB37" s="233" t="n"/>
      <c r="AC37" s="233" t="n"/>
      <c r="AD37" s="233" t="n"/>
      <c r="AE37" s="233" t="n"/>
      <c r="AF37" s="233" t="n"/>
      <c r="AG37" s="233" t="n"/>
      <c r="AH37" s="233" t="n"/>
      <c r="AI37" s="233" t="n"/>
      <c r="AJ37" s="233" t="n"/>
      <c r="AK37" s="233" t="n"/>
      <c r="AL37" s="233" t="n"/>
      <c r="AM37" s="233" t="n"/>
      <c r="AN37" s="233" t="n"/>
      <c r="AO37" s="233" t="n"/>
      <c r="AP37" s="233" t="n"/>
      <c r="AQ37" s="233" t="n"/>
      <c r="AR37" s="233" t="n"/>
    </row>
    <row r="38" ht="21" customHeight="1" s="28">
      <c r="A38" t="inlineStr">
        <is>
          <t>I</t>
        </is>
      </c>
      <c r="B38" t="n">
        <v>3</v>
      </c>
      <c r="C38" s="399" t="inlineStr">
        <is>
          <t>Iraq</t>
        </is>
      </c>
      <c r="D38" s="272">
        <f>COUNTIFS('Match Results'!$C$4:$C$75,$A38,'Match Results'!$I$4:$I$75,$C38)</f>
        <v/>
      </c>
      <c r="E38" s="272">
        <f>COUNTIFS('Match Results'!$C$4:$C$75,$A38,'Match Results'!$D$4:$D$75,$C38,'Match Results'!$I$4:$I$75,"Draw")+COUNTIFS('Match Results'!$C$4:$C$75,$A38,'Match Results'!$G$4:$G$75,$C38,'Match Results'!$I$4:$I$75,"Draw")</f>
        <v/>
      </c>
      <c r="F38" s="272">
        <f>I38-D38-E38</f>
        <v/>
      </c>
      <c r="G38" s="272">
        <f>SUMIFS('Match Results'!$E$4:$E$75,'Match Results'!$C$4:$C$75,$A38,'Match Results'!$D$4:$D$75,$C38)+SUMIFS('Match Results'!$F$4:$F$75,'Match Results'!$C$4:$C$75,$A38,'Match Results'!$G$4:$G$75,$C38)</f>
        <v/>
      </c>
      <c r="H38" s="272">
        <f>SUMIFS('Match Results'!$F$4:$F$75,'Match Results'!$C$4:$C$75,$A38,'Match Results'!$D$4:$D$75,$C38)+SUMIFS('Match Results'!$E$4:$E$75,'Match Results'!$C$4:$C$75,$A38,'Match Results'!$G$4:$G$75,$C38)</f>
        <v/>
      </c>
      <c r="I38" s="272">
        <f>COUNTIFS('Match Results'!$C$4:$C$75,$A38,'Match Results'!$D$4:$D$75,$C38,'Match Results'!$H$4:$H$75,"Final")+COUNTIFS('Match Results'!$C$4:$C$75,$A38,'Match Results'!$G$4:$G$75,$C38,'Match Results'!$H$4:$H$75,"Final")</f>
        <v/>
      </c>
      <c r="J38" s="272">
        <f>G38-H38</f>
        <v/>
      </c>
      <c r="K38" s="272">
        <f>D38*3+E38</f>
        <v/>
      </c>
      <c r="L38" s="272">
        <f>1+SUMPRODUCT(($A$4:$A$51=$A38)*(($K$4:$K$51&gt;K38)+(($K$4:$K$51=K38)*($J$4:$J$51&gt;J38))+(($K$4:$K$51=K38)*($J$4:$J$51=J38)*($G$4:$G$51&gt;G38))+(($K$4:$K$51=K38)*($J$4:$J$51=J38)*($G$4:$G$51=G38)*($B$4:$B$51&lt;B38))))</f>
        <v/>
      </c>
      <c r="M38" s="272">
        <f>IF(L38=3,1+SUMPRODUCT(($L$4:$L$51=3)*(($K$4:$K$51&gt;K38)+(($K$4:$K$51=K38)*($J$4:$J$51&gt;J38))+(($K$4:$K$51=K38)*($J$4:$J$51=J38)*($G$4:$G$51&gt;G38))+(($K$4:$K$51=K38)*($J$4:$J$51=J38)*($G$4:$G$51=G38)*(ROW($A$4:$A$51)&lt;ROW(A38))))),"")</f>
        <v/>
      </c>
      <c r="N38" s="272">
        <f>IF(COUNTIFS('Match Results'!$C$4:$C$75,$A38,'Match Results'!$H$4:$H$75,"Final")&lt;6,IF(I38=0,"Pending","In play"),IF(L38&lt;=2,"Qualified",IF(AND(L38=3,M38&lt;=8),"Qualified best 3rd","Eliminated")))</f>
        <v/>
      </c>
      <c r="O38" s="399">
        <f>C38</f>
        <v/>
      </c>
      <c r="P38" s="233" t="n"/>
      <c r="Q38" s="233" t="n"/>
      <c r="R38" s="233" t="n"/>
      <c r="S38" s="233" t="n"/>
      <c r="T38" s="233" t="n"/>
      <c r="U38" s="233" t="n"/>
      <c r="V38" s="233" t="n"/>
      <c r="W38" s="233" t="n"/>
      <c r="X38" s="233" t="n"/>
      <c r="Y38" s="233" t="n"/>
      <c r="Z38" s="233" t="n"/>
      <c r="AA38" s="233" t="n"/>
      <c r="AB38" s="233" t="n"/>
      <c r="AC38" s="233" t="n"/>
      <c r="AD38" s="233" t="n"/>
      <c r="AE38" s="233" t="n"/>
      <c r="AF38" s="233" t="n"/>
      <c r="AG38" s="233" t="n"/>
      <c r="AH38" s="233" t="n"/>
      <c r="AI38" s="233" t="n"/>
      <c r="AJ38" s="233" t="n"/>
      <c r="AK38" s="233" t="n"/>
      <c r="AL38" s="233" t="n"/>
      <c r="AM38" s="233" t="n"/>
      <c r="AN38" s="233" t="n"/>
      <c r="AO38" s="233" t="n"/>
      <c r="AP38" s="233" t="n"/>
      <c r="AQ38" s="233" t="n"/>
      <c r="AR38" s="233" t="n"/>
    </row>
    <row r="39" ht="21" customHeight="1" s="28">
      <c r="A39" t="inlineStr">
        <is>
          <t>I</t>
        </is>
      </c>
      <c r="B39" t="n">
        <v>4</v>
      </c>
      <c r="C39" s="399" t="inlineStr">
        <is>
          <t>Norway</t>
        </is>
      </c>
      <c r="D39" s="272">
        <f>COUNTIFS('Match Results'!$C$4:$C$75,$A39,'Match Results'!$I$4:$I$75,$C39)</f>
        <v/>
      </c>
      <c r="E39" s="272">
        <f>COUNTIFS('Match Results'!$C$4:$C$75,$A39,'Match Results'!$D$4:$D$75,$C39,'Match Results'!$I$4:$I$75,"Draw")+COUNTIFS('Match Results'!$C$4:$C$75,$A39,'Match Results'!$G$4:$G$75,$C39,'Match Results'!$I$4:$I$75,"Draw")</f>
        <v/>
      </c>
      <c r="F39" s="272">
        <f>I39-D39-E39</f>
        <v/>
      </c>
      <c r="G39" s="272">
        <f>SUMIFS('Match Results'!$E$4:$E$75,'Match Results'!$C$4:$C$75,$A39,'Match Results'!$D$4:$D$75,$C39)+SUMIFS('Match Results'!$F$4:$F$75,'Match Results'!$C$4:$C$75,$A39,'Match Results'!$G$4:$G$75,$C39)</f>
        <v/>
      </c>
      <c r="H39" s="272">
        <f>SUMIFS('Match Results'!$F$4:$F$75,'Match Results'!$C$4:$C$75,$A39,'Match Results'!$D$4:$D$75,$C39)+SUMIFS('Match Results'!$E$4:$E$75,'Match Results'!$C$4:$C$75,$A39,'Match Results'!$G$4:$G$75,$C39)</f>
        <v/>
      </c>
      <c r="I39" s="272">
        <f>COUNTIFS('Match Results'!$C$4:$C$75,$A39,'Match Results'!$D$4:$D$75,$C39,'Match Results'!$H$4:$H$75,"Final")+COUNTIFS('Match Results'!$C$4:$C$75,$A39,'Match Results'!$G$4:$G$75,$C39,'Match Results'!$H$4:$H$75,"Final")</f>
        <v/>
      </c>
      <c r="J39" s="272">
        <f>G39-H39</f>
        <v/>
      </c>
      <c r="K39" s="272">
        <f>D39*3+E39</f>
        <v/>
      </c>
      <c r="L39" s="272">
        <f>1+SUMPRODUCT(($A$4:$A$51=$A39)*(($K$4:$K$51&gt;K39)+(($K$4:$K$51=K39)*($J$4:$J$51&gt;J39))+(($K$4:$K$51=K39)*($J$4:$J$51=J39)*($G$4:$G$51&gt;G39))+(($K$4:$K$51=K39)*($J$4:$J$51=J39)*($G$4:$G$51=G39)*($B$4:$B$51&lt;B39))))</f>
        <v/>
      </c>
      <c r="M39" s="272">
        <f>IF(L39=3,1+SUMPRODUCT(($L$4:$L$51=3)*(($K$4:$K$51&gt;K39)+(($K$4:$K$51=K39)*($J$4:$J$51&gt;J39))+(($K$4:$K$51=K39)*($J$4:$J$51=J39)*($G$4:$G$51&gt;G39))+(($K$4:$K$51=K39)*($J$4:$J$51=J39)*($G$4:$G$51=G39)*(ROW($A$4:$A$51)&lt;ROW(A39))))),"")</f>
        <v/>
      </c>
      <c r="N39" s="272">
        <f>IF(COUNTIFS('Match Results'!$C$4:$C$75,$A39,'Match Results'!$H$4:$H$75,"Final")&lt;6,IF(I39=0,"Pending","In play"),IF(L39&lt;=2,"Qualified",IF(AND(L39=3,M39&lt;=8),"Qualified best 3rd","Eliminated")))</f>
        <v/>
      </c>
      <c r="O39" s="399">
        <f>C39</f>
        <v/>
      </c>
      <c r="P39" s="233" t="n"/>
      <c r="Q39" s="233" t="n"/>
      <c r="R39" s="233" t="n"/>
      <c r="S39" s="233" t="n"/>
      <c r="T39" s="233" t="n"/>
      <c r="U39" s="233" t="n"/>
      <c r="V39" s="233" t="n"/>
      <c r="W39" s="233" t="n"/>
      <c r="X39" s="233" t="n"/>
      <c r="Y39" s="233" t="n"/>
      <c r="Z39" s="233" t="n"/>
      <c r="AA39" s="233" t="n"/>
      <c r="AB39" s="233" t="n"/>
      <c r="AC39" s="233" t="n"/>
      <c r="AD39" s="233" t="n"/>
      <c r="AE39" s="233" t="n"/>
      <c r="AF39" s="233" t="n"/>
      <c r="AG39" s="233" t="n"/>
      <c r="AH39" s="233" t="n"/>
      <c r="AI39" s="233" t="n"/>
      <c r="AJ39" s="233" t="n"/>
      <c r="AK39" s="233" t="n"/>
      <c r="AL39" s="233" t="n"/>
      <c r="AM39" s="233" t="n"/>
      <c r="AN39" s="233" t="n"/>
      <c r="AO39" s="233" t="n"/>
      <c r="AP39" s="233" t="n"/>
      <c r="AQ39" s="233" t="n"/>
      <c r="AR39" s="233" t="n"/>
    </row>
    <row r="40" ht="21" customHeight="1" s="28">
      <c r="A40" t="inlineStr">
        <is>
          <t>J</t>
        </is>
      </c>
      <c r="B40" t="n">
        <v>1</v>
      </c>
      <c r="C40" s="399" t="inlineStr">
        <is>
          <t>Argentina</t>
        </is>
      </c>
      <c r="D40" s="272">
        <f>COUNTIFS('Match Results'!$C$4:$C$75,$A40,'Match Results'!$I$4:$I$75,$C40)</f>
        <v/>
      </c>
      <c r="E40" s="272">
        <f>COUNTIFS('Match Results'!$C$4:$C$75,$A40,'Match Results'!$D$4:$D$75,$C40,'Match Results'!$I$4:$I$75,"Draw")+COUNTIFS('Match Results'!$C$4:$C$75,$A40,'Match Results'!$G$4:$G$75,$C40,'Match Results'!$I$4:$I$75,"Draw")</f>
        <v/>
      </c>
      <c r="F40" s="272">
        <f>I40-D40-E40</f>
        <v/>
      </c>
      <c r="G40" s="272">
        <f>SUMIFS('Match Results'!$E$4:$E$75,'Match Results'!$C$4:$C$75,$A40,'Match Results'!$D$4:$D$75,$C40)+SUMIFS('Match Results'!$F$4:$F$75,'Match Results'!$C$4:$C$75,$A40,'Match Results'!$G$4:$G$75,$C40)</f>
        <v/>
      </c>
      <c r="H40" s="272">
        <f>SUMIFS('Match Results'!$F$4:$F$75,'Match Results'!$C$4:$C$75,$A40,'Match Results'!$D$4:$D$75,$C40)+SUMIFS('Match Results'!$E$4:$E$75,'Match Results'!$C$4:$C$75,$A40,'Match Results'!$G$4:$G$75,$C40)</f>
        <v/>
      </c>
      <c r="I40" s="272">
        <f>COUNTIFS('Match Results'!$C$4:$C$75,$A40,'Match Results'!$D$4:$D$75,$C40,'Match Results'!$H$4:$H$75,"Final")+COUNTIFS('Match Results'!$C$4:$C$75,$A40,'Match Results'!$G$4:$G$75,$C40,'Match Results'!$H$4:$H$75,"Final")</f>
        <v/>
      </c>
      <c r="J40" s="272">
        <f>G40-H40</f>
        <v/>
      </c>
      <c r="K40" s="272">
        <f>D40*3+E40</f>
        <v/>
      </c>
      <c r="L40" s="272">
        <f>1+SUMPRODUCT(($A$4:$A$51=$A40)*(($K$4:$K$51&gt;K40)+(($K$4:$K$51=K40)*($J$4:$J$51&gt;J40))+(($K$4:$K$51=K40)*($J$4:$J$51=J40)*($G$4:$G$51&gt;G40))+(($K$4:$K$51=K40)*($J$4:$J$51=J40)*($G$4:$G$51=G40)*($B$4:$B$51&lt;B40))))</f>
        <v/>
      </c>
      <c r="M40" s="272">
        <f>IF(L40=3,1+SUMPRODUCT(($L$4:$L$51=3)*(($K$4:$K$51&gt;K40)+(($K$4:$K$51=K40)*($J$4:$J$51&gt;J40))+(($K$4:$K$51=K40)*($J$4:$J$51=J40)*($G$4:$G$51&gt;G40))+(($K$4:$K$51=K40)*($J$4:$J$51=J40)*($G$4:$G$51=G40)*(ROW($A$4:$A$51)&lt;ROW(A40))))),"")</f>
        <v/>
      </c>
      <c r="N40" s="272">
        <f>IF(COUNTIFS('Match Results'!$C$4:$C$75,$A40,'Match Results'!$H$4:$H$75,"Final")&lt;6,IF(I40=0,"Pending","In play"),IF(L40&lt;=2,"Qualified",IF(AND(L40=3,M40&lt;=8),"Qualified best 3rd","Eliminated")))</f>
        <v/>
      </c>
      <c r="O40" s="399">
        <f>C40</f>
        <v/>
      </c>
      <c r="P40" s="233" t="n"/>
      <c r="Q40" s="233" t="n"/>
      <c r="R40" s="233" t="n"/>
      <c r="S40" s="233" t="n"/>
      <c r="T40" s="233" t="n"/>
      <c r="U40" s="233" t="n"/>
      <c r="V40" s="233" t="n"/>
      <c r="W40" s="233" t="n"/>
      <c r="X40" s="233" t="n"/>
      <c r="Y40" s="233" t="n"/>
      <c r="Z40" s="233" t="n"/>
      <c r="AA40" s="233" t="n"/>
      <c r="AB40" s="233" t="n"/>
      <c r="AC40" s="233" t="n"/>
      <c r="AD40" s="233" t="n"/>
      <c r="AE40" s="233" t="n"/>
      <c r="AF40" s="233" t="n"/>
      <c r="AG40" s="233" t="n"/>
      <c r="AH40" s="233" t="n"/>
      <c r="AI40" s="233" t="n"/>
      <c r="AJ40" s="233" t="n"/>
      <c r="AK40" s="233" t="n"/>
      <c r="AL40" s="233" t="n"/>
      <c r="AM40" s="233" t="n"/>
      <c r="AN40" s="233" t="n"/>
      <c r="AO40" s="233" t="n"/>
      <c r="AP40" s="233" t="n"/>
      <c r="AQ40" s="233" t="n"/>
      <c r="AR40" s="233" t="n"/>
    </row>
    <row r="41" ht="21" customHeight="1" s="28">
      <c r="A41" t="inlineStr">
        <is>
          <t>J</t>
        </is>
      </c>
      <c r="B41" t="n">
        <v>2</v>
      </c>
      <c r="C41" s="399" t="inlineStr">
        <is>
          <t>Algeria</t>
        </is>
      </c>
      <c r="D41" s="272">
        <f>COUNTIFS('Match Results'!$C$4:$C$75,$A41,'Match Results'!$I$4:$I$75,$C41)</f>
        <v/>
      </c>
      <c r="E41" s="272">
        <f>COUNTIFS('Match Results'!$C$4:$C$75,$A41,'Match Results'!$D$4:$D$75,$C41,'Match Results'!$I$4:$I$75,"Draw")+COUNTIFS('Match Results'!$C$4:$C$75,$A41,'Match Results'!$G$4:$G$75,$C41,'Match Results'!$I$4:$I$75,"Draw")</f>
        <v/>
      </c>
      <c r="F41" s="272">
        <f>I41-D41-E41</f>
        <v/>
      </c>
      <c r="G41" s="272">
        <f>SUMIFS('Match Results'!$E$4:$E$75,'Match Results'!$C$4:$C$75,$A41,'Match Results'!$D$4:$D$75,$C41)+SUMIFS('Match Results'!$F$4:$F$75,'Match Results'!$C$4:$C$75,$A41,'Match Results'!$G$4:$G$75,$C41)</f>
        <v/>
      </c>
      <c r="H41" s="272">
        <f>SUMIFS('Match Results'!$F$4:$F$75,'Match Results'!$C$4:$C$75,$A41,'Match Results'!$D$4:$D$75,$C41)+SUMIFS('Match Results'!$E$4:$E$75,'Match Results'!$C$4:$C$75,$A41,'Match Results'!$G$4:$G$75,$C41)</f>
        <v/>
      </c>
      <c r="I41" s="272">
        <f>COUNTIFS('Match Results'!$C$4:$C$75,$A41,'Match Results'!$D$4:$D$75,$C41,'Match Results'!$H$4:$H$75,"Final")+COUNTIFS('Match Results'!$C$4:$C$75,$A41,'Match Results'!$G$4:$G$75,$C41,'Match Results'!$H$4:$H$75,"Final")</f>
        <v/>
      </c>
      <c r="J41" s="272">
        <f>G41-H41</f>
        <v/>
      </c>
      <c r="K41" s="272">
        <f>D41*3+E41</f>
        <v/>
      </c>
      <c r="L41" s="272">
        <f>1+SUMPRODUCT(($A$4:$A$51=$A41)*(($K$4:$K$51&gt;K41)+(($K$4:$K$51=K41)*($J$4:$J$51&gt;J41))+(($K$4:$K$51=K41)*($J$4:$J$51=J41)*($G$4:$G$51&gt;G41))+(($K$4:$K$51=K41)*($J$4:$J$51=J41)*($G$4:$G$51=G41)*($B$4:$B$51&lt;B41))))</f>
        <v/>
      </c>
      <c r="M41" s="272">
        <f>IF(L41=3,1+SUMPRODUCT(($L$4:$L$51=3)*(($K$4:$K$51&gt;K41)+(($K$4:$K$51=K41)*($J$4:$J$51&gt;J41))+(($K$4:$K$51=K41)*($J$4:$J$51=J41)*($G$4:$G$51&gt;G41))+(($K$4:$K$51=K41)*($J$4:$J$51=J41)*($G$4:$G$51=G41)*(ROW($A$4:$A$51)&lt;ROW(A41))))),"")</f>
        <v/>
      </c>
      <c r="N41" s="272">
        <f>IF(COUNTIFS('Match Results'!$C$4:$C$75,$A41,'Match Results'!$H$4:$H$75,"Final")&lt;6,IF(I41=0,"Pending","In play"),IF(L41&lt;=2,"Qualified",IF(AND(L41=3,M41&lt;=8),"Qualified best 3rd","Eliminated")))</f>
        <v/>
      </c>
      <c r="O41" s="399">
        <f>C41</f>
        <v/>
      </c>
      <c r="P41" s="233" t="n"/>
      <c r="Q41" s="233" t="n"/>
      <c r="R41" s="233" t="n"/>
      <c r="S41" s="233" t="n"/>
      <c r="T41" s="233" t="n"/>
      <c r="U41" s="233" t="n"/>
      <c r="V41" s="233" t="n"/>
      <c r="W41" s="233" t="n"/>
      <c r="X41" s="233" t="n"/>
      <c r="Y41" s="233" t="n"/>
      <c r="Z41" s="233" t="n"/>
      <c r="AA41" s="233" t="n"/>
      <c r="AB41" s="233" t="n"/>
      <c r="AC41" s="233" t="n"/>
      <c r="AD41" s="233" t="n"/>
      <c r="AE41" s="233" t="n"/>
      <c r="AF41" s="233" t="n"/>
      <c r="AG41" s="233" t="n"/>
      <c r="AH41" s="233" t="n"/>
      <c r="AI41" s="233" t="n"/>
      <c r="AJ41" s="233" t="n"/>
      <c r="AK41" s="233" t="n"/>
      <c r="AL41" s="233" t="n"/>
      <c r="AM41" s="233" t="n"/>
      <c r="AN41" s="233" t="n"/>
      <c r="AO41" s="233" t="n"/>
      <c r="AP41" s="233" t="n"/>
      <c r="AQ41" s="233" t="n"/>
      <c r="AR41" s="233" t="n"/>
    </row>
    <row r="42" ht="21" customHeight="1" s="28">
      <c r="A42" t="inlineStr">
        <is>
          <t>J</t>
        </is>
      </c>
      <c r="B42" t="n">
        <v>3</v>
      </c>
      <c r="C42" s="399" t="inlineStr">
        <is>
          <t>Austria</t>
        </is>
      </c>
      <c r="D42" s="272">
        <f>COUNTIFS('Match Results'!$C$4:$C$75,$A42,'Match Results'!$I$4:$I$75,$C42)</f>
        <v/>
      </c>
      <c r="E42" s="272">
        <f>COUNTIFS('Match Results'!$C$4:$C$75,$A42,'Match Results'!$D$4:$D$75,$C42,'Match Results'!$I$4:$I$75,"Draw")+COUNTIFS('Match Results'!$C$4:$C$75,$A42,'Match Results'!$G$4:$G$75,$C42,'Match Results'!$I$4:$I$75,"Draw")</f>
        <v/>
      </c>
      <c r="F42" s="272">
        <f>I42-D42-E42</f>
        <v/>
      </c>
      <c r="G42" s="272">
        <f>SUMIFS('Match Results'!$E$4:$E$75,'Match Results'!$C$4:$C$75,$A42,'Match Results'!$D$4:$D$75,$C42)+SUMIFS('Match Results'!$F$4:$F$75,'Match Results'!$C$4:$C$75,$A42,'Match Results'!$G$4:$G$75,$C42)</f>
        <v/>
      </c>
      <c r="H42" s="272">
        <f>SUMIFS('Match Results'!$F$4:$F$75,'Match Results'!$C$4:$C$75,$A42,'Match Results'!$D$4:$D$75,$C42)+SUMIFS('Match Results'!$E$4:$E$75,'Match Results'!$C$4:$C$75,$A42,'Match Results'!$G$4:$G$75,$C42)</f>
        <v/>
      </c>
      <c r="I42" s="272">
        <f>COUNTIFS('Match Results'!$C$4:$C$75,$A42,'Match Results'!$D$4:$D$75,$C42,'Match Results'!$H$4:$H$75,"Final")+COUNTIFS('Match Results'!$C$4:$C$75,$A42,'Match Results'!$G$4:$G$75,$C42,'Match Results'!$H$4:$H$75,"Final")</f>
        <v/>
      </c>
      <c r="J42" s="272">
        <f>G42-H42</f>
        <v/>
      </c>
      <c r="K42" s="272">
        <f>D42*3+E42</f>
        <v/>
      </c>
      <c r="L42" s="272">
        <f>1+SUMPRODUCT(($A$4:$A$51=$A42)*(($K$4:$K$51&gt;K42)+(($K$4:$K$51=K42)*($J$4:$J$51&gt;J42))+(($K$4:$K$51=K42)*($J$4:$J$51=J42)*($G$4:$G$51&gt;G42))+(($K$4:$K$51=K42)*($J$4:$J$51=J42)*($G$4:$G$51=G42)*($B$4:$B$51&lt;B42))))</f>
        <v/>
      </c>
      <c r="M42" s="272">
        <f>IF(L42=3,1+SUMPRODUCT(($L$4:$L$51=3)*(($K$4:$K$51&gt;K42)+(($K$4:$K$51=K42)*($J$4:$J$51&gt;J42))+(($K$4:$K$51=K42)*($J$4:$J$51=J42)*($G$4:$G$51&gt;G42))+(($K$4:$K$51=K42)*($J$4:$J$51=J42)*($G$4:$G$51=G42)*(ROW($A$4:$A$51)&lt;ROW(A42))))),"")</f>
        <v/>
      </c>
      <c r="N42" s="272">
        <f>IF(COUNTIFS('Match Results'!$C$4:$C$75,$A42,'Match Results'!$H$4:$H$75,"Final")&lt;6,IF(I42=0,"Pending","In play"),IF(L42&lt;=2,"Qualified",IF(AND(L42=3,M42&lt;=8),"Qualified best 3rd","Eliminated")))</f>
        <v/>
      </c>
      <c r="O42" s="399">
        <f>C42</f>
        <v/>
      </c>
      <c r="P42" s="233" t="n"/>
      <c r="Q42" s="233" t="n"/>
      <c r="R42" s="233" t="n"/>
      <c r="S42" s="233" t="n"/>
      <c r="T42" s="233" t="n"/>
      <c r="U42" s="233" t="n"/>
      <c r="V42" s="233" t="n"/>
      <c r="W42" s="233" t="n"/>
      <c r="X42" s="233" t="n"/>
      <c r="Y42" s="233" t="n"/>
      <c r="Z42" s="233" t="n"/>
      <c r="AA42" s="233" t="n"/>
      <c r="AB42" s="233" t="n"/>
      <c r="AC42" s="233" t="n"/>
      <c r="AD42" s="233" t="n"/>
      <c r="AE42" s="233" t="n"/>
      <c r="AF42" s="233" t="n"/>
      <c r="AG42" s="233" t="n"/>
      <c r="AH42" s="233" t="n"/>
      <c r="AI42" s="233" t="n"/>
      <c r="AJ42" s="233" t="n"/>
      <c r="AK42" s="233" t="n"/>
      <c r="AL42" s="233" t="n"/>
      <c r="AM42" s="233" t="n"/>
      <c r="AN42" s="233" t="n"/>
      <c r="AO42" s="233" t="n"/>
      <c r="AP42" s="233" t="n"/>
      <c r="AQ42" s="233" t="n"/>
      <c r="AR42" s="233" t="n"/>
    </row>
    <row r="43" ht="21" customHeight="1" s="28">
      <c r="A43" t="inlineStr">
        <is>
          <t>J</t>
        </is>
      </c>
      <c r="B43" t="n">
        <v>4</v>
      </c>
      <c r="C43" s="399" t="inlineStr">
        <is>
          <t>Jordan</t>
        </is>
      </c>
      <c r="D43" s="272">
        <f>COUNTIFS('Match Results'!$C$4:$C$75,$A43,'Match Results'!$I$4:$I$75,$C43)</f>
        <v/>
      </c>
      <c r="E43" s="272">
        <f>COUNTIFS('Match Results'!$C$4:$C$75,$A43,'Match Results'!$D$4:$D$75,$C43,'Match Results'!$I$4:$I$75,"Draw")+COUNTIFS('Match Results'!$C$4:$C$75,$A43,'Match Results'!$G$4:$G$75,$C43,'Match Results'!$I$4:$I$75,"Draw")</f>
        <v/>
      </c>
      <c r="F43" s="272">
        <f>I43-D43-E43</f>
        <v/>
      </c>
      <c r="G43" s="272">
        <f>SUMIFS('Match Results'!$E$4:$E$75,'Match Results'!$C$4:$C$75,$A43,'Match Results'!$D$4:$D$75,$C43)+SUMIFS('Match Results'!$F$4:$F$75,'Match Results'!$C$4:$C$75,$A43,'Match Results'!$G$4:$G$75,$C43)</f>
        <v/>
      </c>
      <c r="H43" s="272">
        <f>SUMIFS('Match Results'!$F$4:$F$75,'Match Results'!$C$4:$C$75,$A43,'Match Results'!$D$4:$D$75,$C43)+SUMIFS('Match Results'!$E$4:$E$75,'Match Results'!$C$4:$C$75,$A43,'Match Results'!$G$4:$G$75,$C43)</f>
        <v/>
      </c>
      <c r="I43" s="272">
        <f>COUNTIFS('Match Results'!$C$4:$C$75,$A43,'Match Results'!$D$4:$D$75,$C43,'Match Results'!$H$4:$H$75,"Final")+COUNTIFS('Match Results'!$C$4:$C$75,$A43,'Match Results'!$G$4:$G$75,$C43,'Match Results'!$H$4:$H$75,"Final")</f>
        <v/>
      </c>
      <c r="J43" s="272">
        <f>G43-H43</f>
        <v/>
      </c>
      <c r="K43" s="272">
        <f>D43*3+E43</f>
        <v/>
      </c>
      <c r="L43" s="272">
        <f>1+SUMPRODUCT(($A$4:$A$51=$A43)*(($K$4:$K$51&gt;K43)+(($K$4:$K$51=K43)*($J$4:$J$51&gt;J43))+(($K$4:$K$51=K43)*($J$4:$J$51=J43)*($G$4:$G$51&gt;G43))+(($K$4:$K$51=K43)*($J$4:$J$51=J43)*($G$4:$G$51=G43)*($B$4:$B$51&lt;B43))))</f>
        <v/>
      </c>
      <c r="M43" s="272">
        <f>IF(L43=3,1+SUMPRODUCT(($L$4:$L$51=3)*(($K$4:$K$51&gt;K43)+(($K$4:$K$51=K43)*($J$4:$J$51&gt;J43))+(($K$4:$K$51=K43)*($J$4:$J$51=J43)*($G$4:$G$51&gt;G43))+(($K$4:$K$51=K43)*($J$4:$J$51=J43)*($G$4:$G$51=G43)*(ROW($A$4:$A$51)&lt;ROW(A43))))),"")</f>
        <v/>
      </c>
      <c r="N43" s="272">
        <f>IF(COUNTIFS('Match Results'!$C$4:$C$75,$A43,'Match Results'!$H$4:$H$75,"Final")&lt;6,IF(I43=0,"Pending","In play"),IF(L43&lt;=2,"Qualified",IF(AND(L43=3,M43&lt;=8),"Qualified best 3rd","Eliminated")))</f>
        <v/>
      </c>
      <c r="O43" s="399">
        <f>C43</f>
        <v/>
      </c>
      <c r="P43" s="233" t="n"/>
      <c r="Q43" s="233" t="n"/>
      <c r="R43" s="233" t="n"/>
      <c r="S43" s="233" t="n"/>
      <c r="T43" s="233" t="n"/>
      <c r="U43" s="233" t="n"/>
      <c r="V43" s="233" t="n"/>
      <c r="W43" s="233" t="n"/>
      <c r="X43" s="233" t="n"/>
      <c r="Y43" s="233" t="n"/>
      <c r="Z43" s="233" t="n"/>
      <c r="AA43" s="233" t="n"/>
      <c r="AB43" s="233" t="n"/>
      <c r="AC43" s="233" t="n"/>
      <c r="AD43" s="233" t="n"/>
      <c r="AE43" s="233" t="n"/>
      <c r="AF43" s="233" t="n"/>
      <c r="AG43" s="233" t="n"/>
      <c r="AH43" s="233" t="n"/>
      <c r="AI43" s="233" t="n"/>
      <c r="AJ43" s="233" t="n"/>
      <c r="AK43" s="233" t="n"/>
      <c r="AL43" s="233" t="n"/>
      <c r="AM43" s="233" t="n"/>
      <c r="AN43" s="233" t="n"/>
      <c r="AO43" s="233" t="n"/>
      <c r="AP43" s="233" t="n"/>
      <c r="AQ43" s="233" t="n"/>
      <c r="AR43" s="233" t="n"/>
    </row>
    <row r="44" ht="21" customHeight="1" s="28">
      <c r="A44" t="inlineStr">
        <is>
          <t>K</t>
        </is>
      </c>
      <c r="B44" t="n">
        <v>1</v>
      </c>
      <c r="C44" s="399" t="inlineStr">
        <is>
          <t>Portugal</t>
        </is>
      </c>
      <c r="D44" s="272">
        <f>COUNTIFS('Match Results'!$C$4:$C$75,$A44,'Match Results'!$I$4:$I$75,$C44)</f>
        <v/>
      </c>
      <c r="E44" s="272">
        <f>COUNTIFS('Match Results'!$C$4:$C$75,$A44,'Match Results'!$D$4:$D$75,$C44,'Match Results'!$I$4:$I$75,"Draw")+COUNTIFS('Match Results'!$C$4:$C$75,$A44,'Match Results'!$G$4:$G$75,$C44,'Match Results'!$I$4:$I$75,"Draw")</f>
        <v/>
      </c>
      <c r="F44" s="272">
        <f>I44-D44-E44</f>
        <v/>
      </c>
      <c r="G44" s="272">
        <f>SUMIFS('Match Results'!$E$4:$E$75,'Match Results'!$C$4:$C$75,$A44,'Match Results'!$D$4:$D$75,$C44)+SUMIFS('Match Results'!$F$4:$F$75,'Match Results'!$C$4:$C$75,$A44,'Match Results'!$G$4:$G$75,$C44)</f>
        <v/>
      </c>
      <c r="H44" s="272">
        <f>SUMIFS('Match Results'!$F$4:$F$75,'Match Results'!$C$4:$C$75,$A44,'Match Results'!$D$4:$D$75,$C44)+SUMIFS('Match Results'!$E$4:$E$75,'Match Results'!$C$4:$C$75,$A44,'Match Results'!$G$4:$G$75,$C44)</f>
        <v/>
      </c>
      <c r="I44" s="272">
        <f>COUNTIFS('Match Results'!$C$4:$C$75,$A44,'Match Results'!$D$4:$D$75,$C44,'Match Results'!$H$4:$H$75,"Final")+COUNTIFS('Match Results'!$C$4:$C$75,$A44,'Match Results'!$G$4:$G$75,$C44,'Match Results'!$H$4:$H$75,"Final")</f>
        <v/>
      </c>
      <c r="J44" s="272">
        <f>G44-H44</f>
        <v/>
      </c>
      <c r="K44" s="272">
        <f>D44*3+E44</f>
        <v/>
      </c>
      <c r="L44" s="272">
        <f>1+SUMPRODUCT(($A$4:$A$51=$A44)*(($K$4:$K$51&gt;K44)+(($K$4:$K$51=K44)*($J$4:$J$51&gt;J44))+(($K$4:$K$51=K44)*($J$4:$J$51=J44)*($G$4:$G$51&gt;G44))+(($K$4:$K$51=K44)*($J$4:$J$51=J44)*($G$4:$G$51=G44)*($B$4:$B$51&lt;B44))))</f>
        <v/>
      </c>
      <c r="M44" s="272">
        <f>IF(L44=3,1+SUMPRODUCT(($L$4:$L$51=3)*(($K$4:$K$51&gt;K44)+(($K$4:$K$51=K44)*($J$4:$J$51&gt;J44))+(($K$4:$K$51=K44)*($J$4:$J$51=J44)*($G$4:$G$51&gt;G44))+(($K$4:$K$51=K44)*($J$4:$J$51=J44)*($G$4:$G$51=G44)*(ROW($A$4:$A$51)&lt;ROW(A44))))),"")</f>
        <v/>
      </c>
      <c r="N44" s="272">
        <f>IF(COUNTIFS('Match Results'!$C$4:$C$75,$A44,'Match Results'!$H$4:$H$75,"Final")&lt;6,IF(I44=0,"Pending","In play"),IF(L44&lt;=2,"Qualified",IF(AND(L44=3,M44&lt;=8),"Qualified best 3rd","Eliminated")))</f>
        <v/>
      </c>
      <c r="O44" s="399">
        <f>C44</f>
        <v/>
      </c>
      <c r="P44" s="233" t="n"/>
      <c r="Q44" s="233" t="n"/>
      <c r="R44" s="233" t="n"/>
      <c r="S44" s="233" t="n"/>
      <c r="T44" s="233" t="n"/>
      <c r="U44" s="233" t="n"/>
      <c r="V44" s="233" t="n"/>
      <c r="W44" s="233" t="n"/>
      <c r="X44" s="233" t="n"/>
      <c r="Y44" s="233" t="n"/>
      <c r="Z44" s="233" t="n"/>
      <c r="AA44" s="233" t="n"/>
      <c r="AB44" s="233" t="n"/>
      <c r="AC44" s="233" t="n"/>
      <c r="AD44" s="233" t="n"/>
      <c r="AE44" s="233" t="n"/>
      <c r="AF44" s="233" t="n"/>
      <c r="AG44" s="233" t="n"/>
      <c r="AH44" s="233" t="n"/>
      <c r="AI44" s="233" t="n"/>
      <c r="AJ44" s="233" t="n"/>
      <c r="AK44" s="233" t="n"/>
      <c r="AL44" s="233" t="n"/>
      <c r="AM44" s="233" t="n"/>
      <c r="AN44" s="233" t="n"/>
      <c r="AO44" s="233" t="n"/>
      <c r="AP44" s="233" t="n"/>
      <c r="AQ44" s="233" t="n"/>
      <c r="AR44" s="233" t="n"/>
    </row>
    <row r="45" ht="21" customHeight="1" s="28">
      <c r="A45" t="inlineStr">
        <is>
          <t>K</t>
        </is>
      </c>
      <c r="B45" t="n">
        <v>2</v>
      </c>
      <c r="C45" s="399" t="inlineStr">
        <is>
          <t>Congo DR</t>
        </is>
      </c>
      <c r="D45" s="272">
        <f>COUNTIFS('Match Results'!$C$4:$C$75,$A45,'Match Results'!$I$4:$I$75,$C45)</f>
        <v/>
      </c>
      <c r="E45" s="272">
        <f>COUNTIFS('Match Results'!$C$4:$C$75,$A45,'Match Results'!$D$4:$D$75,$C45,'Match Results'!$I$4:$I$75,"Draw")+COUNTIFS('Match Results'!$C$4:$C$75,$A45,'Match Results'!$G$4:$G$75,$C45,'Match Results'!$I$4:$I$75,"Draw")</f>
        <v/>
      </c>
      <c r="F45" s="272">
        <f>I45-D45-E45</f>
        <v/>
      </c>
      <c r="G45" s="272">
        <f>SUMIFS('Match Results'!$E$4:$E$75,'Match Results'!$C$4:$C$75,$A45,'Match Results'!$D$4:$D$75,$C45)+SUMIFS('Match Results'!$F$4:$F$75,'Match Results'!$C$4:$C$75,$A45,'Match Results'!$G$4:$G$75,$C45)</f>
        <v/>
      </c>
      <c r="H45" s="272">
        <f>SUMIFS('Match Results'!$F$4:$F$75,'Match Results'!$C$4:$C$75,$A45,'Match Results'!$D$4:$D$75,$C45)+SUMIFS('Match Results'!$E$4:$E$75,'Match Results'!$C$4:$C$75,$A45,'Match Results'!$G$4:$G$75,$C45)</f>
        <v/>
      </c>
      <c r="I45" s="272">
        <f>COUNTIFS('Match Results'!$C$4:$C$75,$A45,'Match Results'!$D$4:$D$75,$C45,'Match Results'!$H$4:$H$75,"Final")+COUNTIFS('Match Results'!$C$4:$C$75,$A45,'Match Results'!$G$4:$G$75,$C45,'Match Results'!$H$4:$H$75,"Final")</f>
        <v/>
      </c>
      <c r="J45" s="272">
        <f>G45-H45</f>
        <v/>
      </c>
      <c r="K45" s="272">
        <f>D45*3+E45</f>
        <v/>
      </c>
      <c r="L45" s="272">
        <f>1+SUMPRODUCT(($A$4:$A$51=$A45)*(($K$4:$K$51&gt;K45)+(($K$4:$K$51=K45)*($J$4:$J$51&gt;J45))+(($K$4:$K$51=K45)*($J$4:$J$51=J45)*($G$4:$G$51&gt;G45))+(($K$4:$K$51=K45)*($J$4:$J$51=J45)*($G$4:$G$51=G45)*($B$4:$B$51&lt;B45))))</f>
        <v/>
      </c>
      <c r="M45" s="272">
        <f>IF(L45=3,1+SUMPRODUCT(($L$4:$L$51=3)*(($K$4:$K$51&gt;K45)+(($K$4:$K$51=K45)*($J$4:$J$51&gt;J45))+(($K$4:$K$51=K45)*($J$4:$J$51=J45)*($G$4:$G$51&gt;G45))+(($K$4:$K$51=K45)*($J$4:$J$51=J45)*($G$4:$G$51=G45)*(ROW($A$4:$A$51)&lt;ROW(A45))))),"")</f>
        <v/>
      </c>
      <c r="N45" s="272">
        <f>IF(COUNTIFS('Match Results'!$C$4:$C$75,$A45,'Match Results'!$H$4:$H$75,"Final")&lt;6,IF(I45=0,"Pending","In play"),IF(L45&lt;=2,"Qualified",IF(AND(L45=3,M45&lt;=8),"Qualified best 3rd","Eliminated")))</f>
        <v/>
      </c>
      <c r="O45" s="399">
        <f>C45</f>
        <v/>
      </c>
      <c r="P45" s="233" t="n"/>
      <c r="Q45" s="233" t="n"/>
      <c r="R45" s="233" t="n"/>
      <c r="S45" s="233" t="n"/>
      <c r="T45" s="233" t="n"/>
      <c r="U45" s="233" t="n"/>
      <c r="V45" s="233" t="n"/>
      <c r="W45" s="233" t="n"/>
      <c r="X45" s="233" t="n"/>
      <c r="Y45" s="233" t="n"/>
      <c r="Z45" s="233" t="n"/>
      <c r="AA45" s="233" t="n"/>
      <c r="AB45" s="233" t="n"/>
      <c r="AC45" s="233" t="n"/>
      <c r="AD45" s="233" t="n"/>
      <c r="AE45" s="233" t="n"/>
      <c r="AF45" s="233" t="n"/>
      <c r="AG45" s="233" t="n"/>
      <c r="AH45" s="233" t="n"/>
      <c r="AI45" s="233" t="n"/>
      <c r="AJ45" s="233" t="n"/>
      <c r="AK45" s="233" t="n"/>
      <c r="AL45" s="233" t="n"/>
      <c r="AM45" s="233" t="n"/>
      <c r="AN45" s="233" t="n"/>
      <c r="AO45" s="233" t="n"/>
      <c r="AP45" s="233" t="n"/>
      <c r="AQ45" s="233" t="n"/>
      <c r="AR45" s="233" t="n"/>
    </row>
    <row r="46" ht="21" customHeight="1" s="28">
      <c r="A46" t="inlineStr">
        <is>
          <t>K</t>
        </is>
      </c>
      <c r="B46" t="n">
        <v>3</v>
      </c>
      <c r="C46" s="399" t="inlineStr">
        <is>
          <t>Uzbekistan</t>
        </is>
      </c>
      <c r="D46" s="272">
        <f>COUNTIFS('Match Results'!$C$4:$C$75,$A46,'Match Results'!$I$4:$I$75,$C46)</f>
        <v/>
      </c>
      <c r="E46" s="272">
        <f>COUNTIFS('Match Results'!$C$4:$C$75,$A46,'Match Results'!$D$4:$D$75,$C46,'Match Results'!$I$4:$I$75,"Draw")+COUNTIFS('Match Results'!$C$4:$C$75,$A46,'Match Results'!$G$4:$G$75,$C46,'Match Results'!$I$4:$I$75,"Draw")</f>
        <v/>
      </c>
      <c r="F46" s="272">
        <f>I46-D46-E46</f>
        <v/>
      </c>
      <c r="G46" s="272">
        <f>SUMIFS('Match Results'!$E$4:$E$75,'Match Results'!$C$4:$C$75,$A46,'Match Results'!$D$4:$D$75,$C46)+SUMIFS('Match Results'!$F$4:$F$75,'Match Results'!$C$4:$C$75,$A46,'Match Results'!$G$4:$G$75,$C46)</f>
        <v/>
      </c>
      <c r="H46" s="272">
        <f>SUMIFS('Match Results'!$F$4:$F$75,'Match Results'!$C$4:$C$75,$A46,'Match Results'!$D$4:$D$75,$C46)+SUMIFS('Match Results'!$E$4:$E$75,'Match Results'!$C$4:$C$75,$A46,'Match Results'!$G$4:$G$75,$C46)</f>
        <v/>
      </c>
      <c r="I46" s="272">
        <f>COUNTIFS('Match Results'!$C$4:$C$75,$A46,'Match Results'!$D$4:$D$75,$C46,'Match Results'!$H$4:$H$75,"Final")+COUNTIFS('Match Results'!$C$4:$C$75,$A46,'Match Results'!$G$4:$G$75,$C46,'Match Results'!$H$4:$H$75,"Final")</f>
        <v/>
      </c>
      <c r="J46" s="272">
        <f>G46-H46</f>
        <v/>
      </c>
      <c r="K46" s="272">
        <f>D46*3+E46</f>
        <v/>
      </c>
      <c r="L46" s="272">
        <f>1+SUMPRODUCT(($A$4:$A$51=$A46)*(($K$4:$K$51&gt;K46)+(($K$4:$K$51=K46)*($J$4:$J$51&gt;J46))+(($K$4:$K$51=K46)*($J$4:$J$51=J46)*($G$4:$G$51&gt;G46))+(($K$4:$K$51=K46)*($J$4:$J$51=J46)*($G$4:$G$51=G46)*($B$4:$B$51&lt;B46))))</f>
        <v/>
      </c>
      <c r="M46" s="272">
        <f>IF(L46=3,1+SUMPRODUCT(($L$4:$L$51=3)*(($K$4:$K$51&gt;K46)+(($K$4:$K$51=K46)*($J$4:$J$51&gt;J46))+(($K$4:$K$51=K46)*($J$4:$J$51=J46)*($G$4:$G$51&gt;G46))+(($K$4:$K$51=K46)*($J$4:$J$51=J46)*($G$4:$G$51=G46)*(ROW($A$4:$A$51)&lt;ROW(A46))))),"")</f>
        <v/>
      </c>
      <c r="N46" s="272">
        <f>IF(COUNTIFS('Match Results'!$C$4:$C$75,$A46,'Match Results'!$H$4:$H$75,"Final")&lt;6,IF(I46=0,"Pending","In play"),IF(L46&lt;=2,"Qualified",IF(AND(L46=3,M46&lt;=8),"Qualified best 3rd","Eliminated")))</f>
        <v/>
      </c>
      <c r="O46" s="399">
        <f>C46</f>
        <v/>
      </c>
      <c r="P46" s="233" t="n"/>
      <c r="Q46" s="233" t="n"/>
      <c r="R46" s="233" t="n"/>
      <c r="S46" s="233" t="n"/>
      <c r="T46" s="233" t="n"/>
      <c r="U46" s="233" t="n"/>
      <c r="V46" s="233" t="n"/>
      <c r="W46" s="233" t="n"/>
      <c r="X46" s="233" t="n"/>
      <c r="Y46" s="233" t="n"/>
      <c r="Z46" s="233" t="n"/>
      <c r="AA46" s="233" t="n"/>
      <c r="AB46" s="233" t="n"/>
      <c r="AC46" s="233" t="n"/>
      <c r="AD46" s="233" t="n"/>
      <c r="AE46" s="233" t="n"/>
      <c r="AF46" s="233" t="n"/>
      <c r="AG46" s="233" t="n"/>
      <c r="AH46" s="233" t="n"/>
      <c r="AI46" s="233" t="n"/>
      <c r="AJ46" s="233" t="n"/>
      <c r="AK46" s="233" t="n"/>
      <c r="AL46" s="233" t="n"/>
      <c r="AM46" s="233" t="n"/>
      <c r="AN46" s="233" t="n"/>
      <c r="AO46" s="233" t="n"/>
      <c r="AP46" s="233" t="n"/>
      <c r="AQ46" s="233" t="n"/>
      <c r="AR46" s="233" t="n"/>
    </row>
    <row r="47" ht="21" customHeight="1" s="28">
      <c r="A47" t="inlineStr">
        <is>
          <t>K</t>
        </is>
      </c>
      <c r="B47" t="n">
        <v>4</v>
      </c>
      <c r="C47" s="399" t="inlineStr">
        <is>
          <t>Colombia</t>
        </is>
      </c>
      <c r="D47" s="272">
        <f>COUNTIFS('Match Results'!$C$4:$C$75,$A47,'Match Results'!$I$4:$I$75,$C47)</f>
        <v/>
      </c>
      <c r="E47" s="272">
        <f>COUNTIFS('Match Results'!$C$4:$C$75,$A47,'Match Results'!$D$4:$D$75,$C47,'Match Results'!$I$4:$I$75,"Draw")+COUNTIFS('Match Results'!$C$4:$C$75,$A47,'Match Results'!$G$4:$G$75,$C47,'Match Results'!$I$4:$I$75,"Draw")</f>
        <v/>
      </c>
      <c r="F47" s="272">
        <f>I47-D47-E47</f>
        <v/>
      </c>
      <c r="G47" s="272">
        <f>SUMIFS('Match Results'!$E$4:$E$75,'Match Results'!$C$4:$C$75,$A47,'Match Results'!$D$4:$D$75,$C47)+SUMIFS('Match Results'!$F$4:$F$75,'Match Results'!$C$4:$C$75,$A47,'Match Results'!$G$4:$G$75,$C47)</f>
        <v/>
      </c>
      <c r="H47" s="272">
        <f>SUMIFS('Match Results'!$F$4:$F$75,'Match Results'!$C$4:$C$75,$A47,'Match Results'!$D$4:$D$75,$C47)+SUMIFS('Match Results'!$E$4:$E$75,'Match Results'!$C$4:$C$75,$A47,'Match Results'!$G$4:$G$75,$C47)</f>
        <v/>
      </c>
      <c r="I47" s="272">
        <f>COUNTIFS('Match Results'!$C$4:$C$75,$A47,'Match Results'!$D$4:$D$75,$C47,'Match Results'!$H$4:$H$75,"Final")+COUNTIFS('Match Results'!$C$4:$C$75,$A47,'Match Results'!$G$4:$G$75,$C47,'Match Results'!$H$4:$H$75,"Final")</f>
        <v/>
      </c>
      <c r="J47" s="272">
        <f>G47-H47</f>
        <v/>
      </c>
      <c r="K47" s="272">
        <f>D47*3+E47</f>
        <v/>
      </c>
      <c r="L47" s="272">
        <f>1+SUMPRODUCT(($A$4:$A$51=$A47)*(($K$4:$K$51&gt;K47)+(($K$4:$K$51=K47)*($J$4:$J$51&gt;J47))+(($K$4:$K$51=K47)*($J$4:$J$51=J47)*($G$4:$G$51&gt;G47))+(($K$4:$K$51=K47)*($J$4:$J$51=J47)*($G$4:$G$51=G47)*($B$4:$B$51&lt;B47))))</f>
        <v/>
      </c>
      <c r="M47" s="272">
        <f>IF(L47=3,1+SUMPRODUCT(($L$4:$L$51=3)*(($K$4:$K$51&gt;K47)+(($K$4:$K$51=K47)*($J$4:$J$51&gt;J47))+(($K$4:$K$51=K47)*($J$4:$J$51=J47)*($G$4:$G$51&gt;G47))+(($K$4:$K$51=K47)*($J$4:$J$51=J47)*($G$4:$G$51=G47)*(ROW($A$4:$A$51)&lt;ROW(A47))))),"")</f>
        <v/>
      </c>
      <c r="N47" s="272">
        <f>IF(COUNTIFS('Match Results'!$C$4:$C$75,$A47,'Match Results'!$H$4:$H$75,"Final")&lt;6,IF(I47=0,"Pending","In play"),IF(L47&lt;=2,"Qualified",IF(AND(L47=3,M47&lt;=8),"Qualified best 3rd","Eliminated")))</f>
        <v/>
      </c>
      <c r="O47" s="399">
        <f>C47</f>
        <v/>
      </c>
      <c r="P47" s="233" t="n"/>
      <c r="Q47" s="233" t="n"/>
      <c r="R47" s="233" t="n"/>
      <c r="S47" s="233" t="n"/>
      <c r="T47" s="233" t="n"/>
      <c r="U47" s="233" t="n"/>
      <c r="V47" s="233" t="n"/>
      <c r="W47" s="233" t="n"/>
      <c r="X47" s="233" t="n"/>
      <c r="Y47" s="233" t="n"/>
      <c r="Z47" s="233" t="n"/>
      <c r="AA47" s="233" t="n"/>
      <c r="AB47" s="233" t="n"/>
      <c r="AC47" s="233" t="n"/>
      <c r="AD47" s="233" t="n"/>
      <c r="AE47" s="233" t="n"/>
      <c r="AF47" s="233" t="n"/>
      <c r="AG47" s="233" t="n"/>
      <c r="AH47" s="233" t="n"/>
      <c r="AI47" s="233" t="n"/>
      <c r="AJ47" s="233" t="n"/>
      <c r="AK47" s="233" t="n"/>
      <c r="AL47" s="233" t="n"/>
      <c r="AM47" s="233" t="n"/>
      <c r="AN47" s="233" t="n"/>
      <c r="AO47" s="233" t="n"/>
      <c r="AP47" s="233" t="n"/>
      <c r="AQ47" s="233" t="n"/>
      <c r="AR47" s="233" t="n"/>
    </row>
    <row r="48" ht="21" customHeight="1" s="28">
      <c r="A48" t="inlineStr">
        <is>
          <t>L</t>
        </is>
      </c>
      <c r="B48" t="n">
        <v>1</v>
      </c>
      <c r="C48" s="399" t="inlineStr">
        <is>
          <t>England</t>
        </is>
      </c>
      <c r="D48" s="272">
        <f>COUNTIFS('Match Results'!$C$4:$C$75,$A48,'Match Results'!$I$4:$I$75,$C48)</f>
        <v/>
      </c>
      <c r="E48" s="272">
        <f>COUNTIFS('Match Results'!$C$4:$C$75,$A48,'Match Results'!$D$4:$D$75,$C48,'Match Results'!$I$4:$I$75,"Draw")+COUNTIFS('Match Results'!$C$4:$C$75,$A48,'Match Results'!$G$4:$G$75,$C48,'Match Results'!$I$4:$I$75,"Draw")</f>
        <v/>
      </c>
      <c r="F48" s="272">
        <f>I48-D48-E48</f>
        <v/>
      </c>
      <c r="G48" s="272">
        <f>SUMIFS('Match Results'!$E$4:$E$75,'Match Results'!$C$4:$C$75,$A48,'Match Results'!$D$4:$D$75,$C48)+SUMIFS('Match Results'!$F$4:$F$75,'Match Results'!$C$4:$C$75,$A48,'Match Results'!$G$4:$G$75,$C48)</f>
        <v/>
      </c>
      <c r="H48" s="272">
        <f>SUMIFS('Match Results'!$F$4:$F$75,'Match Results'!$C$4:$C$75,$A48,'Match Results'!$D$4:$D$75,$C48)+SUMIFS('Match Results'!$E$4:$E$75,'Match Results'!$C$4:$C$75,$A48,'Match Results'!$G$4:$G$75,$C48)</f>
        <v/>
      </c>
      <c r="I48" s="272">
        <f>COUNTIFS('Match Results'!$C$4:$C$75,$A48,'Match Results'!$D$4:$D$75,$C48,'Match Results'!$H$4:$H$75,"Final")+COUNTIFS('Match Results'!$C$4:$C$75,$A48,'Match Results'!$G$4:$G$75,$C48,'Match Results'!$H$4:$H$75,"Final")</f>
        <v/>
      </c>
      <c r="J48" s="272">
        <f>G48-H48</f>
        <v/>
      </c>
      <c r="K48" s="272">
        <f>D48*3+E48</f>
        <v/>
      </c>
      <c r="L48" s="272">
        <f>1+SUMPRODUCT(($A$4:$A$51=$A48)*(($K$4:$K$51&gt;K48)+(($K$4:$K$51=K48)*($J$4:$J$51&gt;J48))+(($K$4:$K$51=K48)*($J$4:$J$51=J48)*($G$4:$G$51&gt;G48))+(($K$4:$K$51=K48)*($J$4:$J$51=J48)*($G$4:$G$51=G48)*($B$4:$B$51&lt;B48))))</f>
        <v/>
      </c>
      <c r="M48" s="272">
        <f>IF(L48=3,1+SUMPRODUCT(($L$4:$L$51=3)*(($K$4:$K$51&gt;K48)+(($K$4:$K$51=K48)*($J$4:$J$51&gt;J48))+(($K$4:$K$51=K48)*($J$4:$J$51=J48)*($G$4:$G$51&gt;G48))+(($K$4:$K$51=K48)*($J$4:$J$51=J48)*($G$4:$G$51=G48)*(ROW($A$4:$A$51)&lt;ROW(A48))))),"")</f>
        <v/>
      </c>
      <c r="N48" s="272">
        <f>IF(COUNTIFS('Match Results'!$C$4:$C$75,$A48,'Match Results'!$H$4:$H$75,"Final")&lt;6,IF(I48=0,"Pending","In play"),IF(L48&lt;=2,"Qualified",IF(AND(L48=3,M48&lt;=8),"Qualified best 3rd","Eliminated")))</f>
        <v/>
      </c>
      <c r="O48" s="399">
        <f>C48</f>
        <v/>
      </c>
      <c r="P48" s="233" t="n"/>
      <c r="Q48" s="233" t="n"/>
      <c r="R48" s="233" t="n"/>
      <c r="S48" s="233" t="n"/>
      <c r="T48" s="233" t="n"/>
      <c r="U48" s="233" t="n"/>
      <c r="V48" s="233" t="n"/>
      <c r="W48" s="233" t="n"/>
      <c r="X48" s="233" t="n"/>
      <c r="Y48" s="233" t="n"/>
      <c r="Z48" s="233" t="n"/>
      <c r="AA48" s="233" t="n"/>
      <c r="AB48" s="233" t="n"/>
      <c r="AC48" s="233" t="n"/>
      <c r="AD48" s="233" t="n"/>
      <c r="AE48" s="233" t="n"/>
      <c r="AF48" s="233" t="n"/>
      <c r="AG48" s="233" t="n"/>
      <c r="AH48" s="233" t="n"/>
      <c r="AI48" s="233" t="n"/>
      <c r="AJ48" s="233" t="n"/>
      <c r="AK48" s="233" t="n"/>
      <c r="AL48" s="233" t="n"/>
      <c r="AM48" s="233" t="n"/>
      <c r="AN48" s="233" t="n"/>
      <c r="AO48" s="233" t="n"/>
      <c r="AP48" s="233" t="n"/>
      <c r="AQ48" s="233" t="n"/>
      <c r="AR48" s="233" t="n"/>
    </row>
    <row r="49" ht="21" customHeight="1" s="28">
      <c r="A49" t="inlineStr">
        <is>
          <t>L</t>
        </is>
      </c>
      <c r="B49" t="n">
        <v>2</v>
      </c>
      <c r="C49" s="399" t="inlineStr">
        <is>
          <t>Croatia</t>
        </is>
      </c>
      <c r="D49" s="272">
        <f>COUNTIFS('Match Results'!$C$4:$C$75,$A49,'Match Results'!$I$4:$I$75,$C49)</f>
        <v/>
      </c>
      <c r="E49" s="272">
        <f>COUNTIFS('Match Results'!$C$4:$C$75,$A49,'Match Results'!$D$4:$D$75,$C49,'Match Results'!$I$4:$I$75,"Draw")+COUNTIFS('Match Results'!$C$4:$C$75,$A49,'Match Results'!$G$4:$G$75,$C49,'Match Results'!$I$4:$I$75,"Draw")</f>
        <v/>
      </c>
      <c r="F49" s="272">
        <f>I49-D49-E49</f>
        <v/>
      </c>
      <c r="G49" s="272">
        <f>SUMIFS('Match Results'!$E$4:$E$75,'Match Results'!$C$4:$C$75,$A49,'Match Results'!$D$4:$D$75,$C49)+SUMIFS('Match Results'!$F$4:$F$75,'Match Results'!$C$4:$C$75,$A49,'Match Results'!$G$4:$G$75,$C49)</f>
        <v/>
      </c>
      <c r="H49" s="272">
        <f>SUMIFS('Match Results'!$F$4:$F$75,'Match Results'!$C$4:$C$75,$A49,'Match Results'!$D$4:$D$75,$C49)+SUMIFS('Match Results'!$E$4:$E$75,'Match Results'!$C$4:$C$75,$A49,'Match Results'!$G$4:$G$75,$C49)</f>
        <v/>
      </c>
      <c r="I49" s="272">
        <f>COUNTIFS('Match Results'!$C$4:$C$75,$A49,'Match Results'!$D$4:$D$75,$C49,'Match Results'!$H$4:$H$75,"Final")+COUNTIFS('Match Results'!$C$4:$C$75,$A49,'Match Results'!$G$4:$G$75,$C49,'Match Results'!$H$4:$H$75,"Final")</f>
        <v/>
      </c>
      <c r="J49" s="272">
        <f>G49-H49</f>
        <v/>
      </c>
      <c r="K49" s="272">
        <f>D49*3+E49</f>
        <v/>
      </c>
      <c r="L49" s="272">
        <f>1+SUMPRODUCT(($A$4:$A$51=$A49)*(($K$4:$K$51&gt;K49)+(($K$4:$K$51=K49)*($J$4:$J$51&gt;J49))+(($K$4:$K$51=K49)*($J$4:$J$51=J49)*($G$4:$G$51&gt;G49))+(($K$4:$K$51=K49)*($J$4:$J$51=J49)*($G$4:$G$51=G49)*($B$4:$B$51&lt;B49))))</f>
        <v/>
      </c>
      <c r="M49" s="272">
        <f>IF(L49=3,1+SUMPRODUCT(($L$4:$L$51=3)*(($K$4:$K$51&gt;K49)+(($K$4:$K$51=K49)*($J$4:$J$51&gt;J49))+(($K$4:$K$51=K49)*($J$4:$J$51=J49)*($G$4:$G$51&gt;G49))+(($K$4:$K$51=K49)*($J$4:$J$51=J49)*($G$4:$G$51=G49)*(ROW($A$4:$A$51)&lt;ROW(A49))))),"")</f>
        <v/>
      </c>
      <c r="N49" s="272">
        <f>IF(COUNTIFS('Match Results'!$C$4:$C$75,$A49,'Match Results'!$H$4:$H$75,"Final")&lt;6,IF(I49=0,"Pending","In play"),IF(L49&lt;=2,"Qualified",IF(AND(L49=3,M49&lt;=8),"Qualified best 3rd","Eliminated")))</f>
        <v/>
      </c>
      <c r="O49" s="399">
        <f>C49</f>
        <v/>
      </c>
      <c r="P49" s="233" t="n"/>
      <c r="Q49" s="233" t="n"/>
      <c r="R49" s="233" t="n"/>
      <c r="S49" s="233" t="n"/>
      <c r="T49" s="233" t="n"/>
      <c r="U49" s="233" t="n"/>
      <c r="V49" s="233" t="n"/>
      <c r="W49" s="233" t="n"/>
      <c r="X49" s="233" t="n"/>
      <c r="Y49" s="233" t="n"/>
      <c r="Z49" s="233" t="n"/>
      <c r="AA49" s="233" t="n"/>
      <c r="AB49" s="233" t="n"/>
      <c r="AC49" s="233" t="n"/>
      <c r="AD49" s="233" t="n"/>
      <c r="AE49" s="233" t="n"/>
      <c r="AF49" s="233" t="n"/>
      <c r="AG49" s="233" t="n"/>
      <c r="AH49" s="233" t="n"/>
      <c r="AI49" s="233" t="n"/>
      <c r="AJ49" s="233" t="n"/>
      <c r="AK49" s="233" t="n"/>
      <c r="AL49" s="233" t="n"/>
      <c r="AM49" s="233" t="n"/>
      <c r="AN49" s="233" t="n"/>
      <c r="AO49" s="233" t="n"/>
      <c r="AP49" s="233" t="n"/>
      <c r="AQ49" s="233" t="n"/>
      <c r="AR49" s="233" t="n"/>
    </row>
    <row r="50" ht="21" customHeight="1" s="28">
      <c r="A50" t="inlineStr">
        <is>
          <t>L</t>
        </is>
      </c>
      <c r="B50" t="n">
        <v>3</v>
      </c>
      <c r="C50" s="399" t="inlineStr">
        <is>
          <t>Ghana</t>
        </is>
      </c>
      <c r="D50" s="272">
        <f>COUNTIFS('Match Results'!$C$4:$C$75,$A50,'Match Results'!$I$4:$I$75,$C50)</f>
        <v/>
      </c>
      <c r="E50" s="272">
        <f>COUNTIFS('Match Results'!$C$4:$C$75,$A50,'Match Results'!$D$4:$D$75,$C50,'Match Results'!$I$4:$I$75,"Draw")+COUNTIFS('Match Results'!$C$4:$C$75,$A50,'Match Results'!$G$4:$G$75,$C50,'Match Results'!$I$4:$I$75,"Draw")</f>
        <v/>
      </c>
      <c r="F50" s="272">
        <f>I50-D50-E50</f>
        <v/>
      </c>
      <c r="G50" s="272">
        <f>SUMIFS('Match Results'!$E$4:$E$75,'Match Results'!$C$4:$C$75,$A50,'Match Results'!$D$4:$D$75,$C50)+SUMIFS('Match Results'!$F$4:$F$75,'Match Results'!$C$4:$C$75,$A50,'Match Results'!$G$4:$G$75,$C50)</f>
        <v/>
      </c>
      <c r="H50" s="272">
        <f>SUMIFS('Match Results'!$F$4:$F$75,'Match Results'!$C$4:$C$75,$A50,'Match Results'!$D$4:$D$75,$C50)+SUMIFS('Match Results'!$E$4:$E$75,'Match Results'!$C$4:$C$75,$A50,'Match Results'!$G$4:$G$75,$C50)</f>
        <v/>
      </c>
      <c r="I50" s="272">
        <f>COUNTIFS('Match Results'!$C$4:$C$75,$A50,'Match Results'!$D$4:$D$75,$C50,'Match Results'!$H$4:$H$75,"Final")+COUNTIFS('Match Results'!$C$4:$C$75,$A50,'Match Results'!$G$4:$G$75,$C50,'Match Results'!$H$4:$H$75,"Final")</f>
        <v/>
      </c>
      <c r="J50" s="272">
        <f>G50-H50</f>
        <v/>
      </c>
      <c r="K50" s="272">
        <f>D50*3+E50</f>
        <v/>
      </c>
      <c r="L50" s="272">
        <f>1+SUMPRODUCT(($A$4:$A$51=$A50)*(($K$4:$K$51&gt;K50)+(($K$4:$K$51=K50)*($J$4:$J$51&gt;J50))+(($K$4:$K$51=K50)*($J$4:$J$51=J50)*($G$4:$G$51&gt;G50))+(($K$4:$K$51=K50)*($J$4:$J$51=J50)*($G$4:$G$51=G50)*($B$4:$B$51&lt;B50))))</f>
        <v/>
      </c>
      <c r="M50" s="272">
        <f>IF(L50=3,1+SUMPRODUCT(($L$4:$L$51=3)*(($K$4:$K$51&gt;K50)+(($K$4:$K$51=K50)*($J$4:$J$51&gt;J50))+(($K$4:$K$51=K50)*($J$4:$J$51=J50)*($G$4:$G$51&gt;G50))+(($K$4:$K$51=K50)*($J$4:$J$51=J50)*($G$4:$G$51=G50)*(ROW($A$4:$A$51)&lt;ROW(A50))))),"")</f>
        <v/>
      </c>
      <c r="N50" s="272">
        <f>IF(COUNTIFS('Match Results'!$C$4:$C$75,$A50,'Match Results'!$H$4:$H$75,"Final")&lt;6,IF(I50=0,"Pending","In play"),IF(L50&lt;=2,"Qualified",IF(AND(L50=3,M50&lt;=8),"Qualified best 3rd","Eliminated")))</f>
        <v/>
      </c>
      <c r="O50" s="399">
        <f>C50</f>
        <v/>
      </c>
      <c r="P50" s="233" t="n"/>
      <c r="Q50" s="233" t="n"/>
      <c r="R50" s="233" t="n"/>
      <c r="S50" s="233" t="n"/>
      <c r="T50" s="233" t="n"/>
      <c r="U50" s="233" t="n"/>
      <c r="V50" s="233" t="n"/>
      <c r="W50" s="233" t="n"/>
      <c r="X50" s="233" t="n"/>
      <c r="Y50" s="233" t="n"/>
      <c r="Z50" s="233" t="n"/>
      <c r="AA50" s="233" t="n"/>
      <c r="AB50" s="233" t="n"/>
      <c r="AC50" s="233" t="n"/>
      <c r="AD50" s="233" t="n"/>
      <c r="AE50" s="233" t="n"/>
      <c r="AF50" s="233" t="n"/>
      <c r="AG50" s="233" t="n"/>
      <c r="AH50" s="233" t="n"/>
      <c r="AI50" s="233" t="n"/>
      <c r="AJ50" s="233" t="n"/>
      <c r="AK50" s="233" t="n"/>
      <c r="AL50" s="233" t="n"/>
      <c r="AM50" s="233" t="n"/>
      <c r="AN50" s="233" t="n"/>
      <c r="AO50" s="233" t="n"/>
      <c r="AP50" s="233" t="n"/>
      <c r="AQ50" s="233" t="n"/>
      <c r="AR50" s="233" t="n"/>
    </row>
    <row r="51" ht="21" customHeight="1" s="28">
      <c r="A51" t="inlineStr">
        <is>
          <t>L</t>
        </is>
      </c>
      <c r="B51" t="n">
        <v>4</v>
      </c>
      <c r="C51" s="399" t="inlineStr">
        <is>
          <t>Panama</t>
        </is>
      </c>
      <c r="D51" s="272">
        <f>COUNTIFS('Match Results'!$C$4:$C$75,$A51,'Match Results'!$I$4:$I$75,$C51)</f>
        <v/>
      </c>
      <c r="E51" s="272">
        <f>COUNTIFS('Match Results'!$C$4:$C$75,$A51,'Match Results'!$D$4:$D$75,$C51,'Match Results'!$I$4:$I$75,"Draw")+COUNTIFS('Match Results'!$C$4:$C$75,$A51,'Match Results'!$G$4:$G$75,$C51,'Match Results'!$I$4:$I$75,"Draw")</f>
        <v/>
      </c>
      <c r="F51" s="272">
        <f>I51-D51-E51</f>
        <v/>
      </c>
      <c r="G51" s="272">
        <f>SUMIFS('Match Results'!$E$4:$E$75,'Match Results'!$C$4:$C$75,$A51,'Match Results'!$D$4:$D$75,$C51)+SUMIFS('Match Results'!$F$4:$F$75,'Match Results'!$C$4:$C$75,$A51,'Match Results'!$G$4:$G$75,$C51)</f>
        <v/>
      </c>
      <c r="H51" s="272">
        <f>SUMIFS('Match Results'!$F$4:$F$75,'Match Results'!$C$4:$C$75,$A51,'Match Results'!$D$4:$D$75,$C51)+SUMIFS('Match Results'!$E$4:$E$75,'Match Results'!$C$4:$C$75,$A51,'Match Results'!$G$4:$G$75,$C51)</f>
        <v/>
      </c>
      <c r="I51" s="272">
        <f>COUNTIFS('Match Results'!$C$4:$C$75,$A51,'Match Results'!$D$4:$D$75,$C51,'Match Results'!$H$4:$H$75,"Final")+COUNTIFS('Match Results'!$C$4:$C$75,$A51,'Match Results'!$G$4:$G$75,$C51,'Match Results'!$H$4:$H$75,"Final")</f>
        <v/>
      </c>
      <c r="J51" s="272">
        <f>G51-H51</f>
        <v/>
      </c>
      <c r="K51" s="272">
        <f>D51*3+E51</f>
        <v/>
      </c>
      <c r="L51" s="272">
        <f>1+SUMPRODUCT(($A$4:$A$51=$A51)*(($K$4:$K$51&gt;K51)+(($K$4:$K$51=K51)*($J$4:$J$51&gt;J51))+(($K$4:$K$51=K51)*($J$4:$J$51=J51)*($G$4:$G$51&gt;G51))+(($K$4:$K$51=K51)*($J$4:$J$51=J51)*($G$4:$G$51=G51)*($B$4:$B$51&lt;B51))))</f>
        <v/>
      </c>
      <c r="M51" s="272">
        <f>IF(L51=3,1+SUMPRODUCT(($L$4:$L$51=3)*(($K$4:$K$51&gt;K51)+(($K$4:$K$51=K51)*($J$4:$J$51&gt;J51))+(($K$4:$K$51=K51)*($J$4:$J$51=J51)*($G$4:$G$51&gt;G51))+(($K$4:$K$51=K51)*($J$4:$J$51=J51)*($G$4:$G$51=G51)*(ROW($A$4:$A$51)&lt;ROW(A51))))),"")</f>
        <v/>
      </c>
      <c r="N51" s="272">
        <f>IF(COUNTIFS('Match Results'!$C$4:$C$75,$A51,'Match Results'!$H$4:$H$75,"Final")&lt;6,IF(I51=0,"Pending","In play"),IF(L51&lt;=2,"Qualified",IF(AND(L51=3,M51&lt;=8),"Qualified best 3rd","Eliminated")))</f>
        <v/>
      </c>
      <c r="O51" s="399">
        <f>C51</f>
        <v/>
      </c>
      <c r="P51" s="233" t="n"/>
      <c r="Q51" s="233" t="n"/>
      <c r="R51" s="233" t="n"/>
      <c r="S51" s="233" t="n"/>
      <c r="T51" s="233" t="n"/>
      <c r="U51" s="233" t="n"/>
      <c r="V51" s="233" t="n"/>
      <c r="W51" s="233" t="n"/>
      <c r="X51" s="233" t="n"/>
      <c r="Y51" s="233" t="n"/>
      <c r="Z51" s="233" t="n"/>
      <c r="AA51" s="233" t="n"/>
      <c r="AB51" s="233" t="n"/>
      <c r="AC51" s="233" t="n"/>
      <c r="AD51" s="233" t="n"/>
      <c r="AE51" s="233" t="n"/>
      <c r="AF51" s="233" t="n"/>
      <c r="AG51" s="233" t="n"/>
      <c r="AH51" s="233" t="n"/>
      <c r="AI51" s="233" t="n"/>
      <c r="AJ51" s="233" t="n"/>
      <c r="AK51" s="233" t="n"/>
      <c r="AL51" s="233" t="n"/>
      <c r="AM51" s="233" t="n"/>
      <c r="AN51" s="233" t="n"/>
      <c r="AO51" s="233" t="n"/>
      <c r="AP51" s="233" t="n"/>
      <c r="AQ51" s="233" t="n"/>
      <c r="AR51" s="233" t="n"/>
    </row>
    <row r="52" ht="19" customHeight="1" s="28">
      <c r="O52" s="233" t="n"/>
      <c r="P52" s="233" t="n"/>
      <c r="Q52" s="233" t="n"/>
      <c r="R52" s="233" t="n"/>
      <c r="S52" s="233" t="n"/>
      <c r="T52" s="233" t="n"/>
      <c r="U52" s="233" t="n"/>
      <c r="V52" s="233" t="n"/>
      <c r="W52" s="233" t="n"/>
      <c r="X52" s="233" t="n"/>
      <c r="Y52" s="233" t="n"/>
      <c r="Z52" s="233" t="n"/>
      <c r="AA52" s="233" t="n"/>
      <c r="AB52" s="233" t="n"/>
      <c r="AC52" s="233" t="n"/>
      <c r="AD52" s="233" t="n"/>
      <c r="AE52" s="233" t="n"/>
      <c r="AF52" s="233" t="n"/>
      <c r="AG52" s="233" t="n"/>
      <c r="AH52" s="233" t="n"/>
      <c r="AI52" s="233" t="n"/>
      <c r="AJ52" s="233" t="n"/>
      <c r="AK52" s="233" t="n"/>
      <c r="AL52" s="233" t="n"/>
      <c r="AM52" s="233" t="n"/>
      <c r="AN52" s="233" t="n"/>
      <c r="AO52" s="233" t="n"/>
      <c r="AP52" s="233" t="n"/>
      <c r="AQ52" s="233" t="n"/>
      <c r="AR52" s="233" t="n"/>
    </row>
    <row r="53" ht="19" customHeight="1" s="28">
      <c r="O53" s="233" t="n"/>
      <c r="P53" s="233" t="n"/>
      <c r="Q53" s="233" t="n"/>
      <c r="R53" s="233" t="n"/>
      <c r="S53" s="233" t="n"/>
      <c r="T53" s="233" t="n"/>
      <c r="U53" s="233" t="n"/>
      <c r="V53" s="233" t="n"/>
      <c r="W53" s="233" t="n"/>
      <c r="X53" s="233" t="n"/>
      <c r="Y53" s="233" t="n"/>
      <c r="Z53" s="233" t="n"/>
      <c r="AA53" s="233" t="n"/>
      <c r="AB53" s="233" t="n"/>
      <c r="AC53" s="233" t="n"/>
      <c r="AD53" s="233" t="n"/>
      <c r="AE53" s="233" t="n"/>
      <c r="AF53" s="233" t="n"/>
      <c r="AG53" s="233" t="n"/>
      <c r="AH53" s="233" t="n"/>
      <c r="AI53" s="233" t="n"/>
      <c r="AJ53" s="233" t="n"/>
      <c r="AK53" s="233" t="n"/>
      <c r="AL53" s="233" t="n"/>
      <c r="AM53" s="233" t="n"/>
      <c r="AN53" s="233" t="n"/>
      <c r="AO53" s="233" t="n"/>
      <c r="AP53" s="233" t="n"/>
      <c r="AQ53" s="233" t="n"/>
      <c r="AR53" s="233" t="n"/>
    </row>
    <row r="54" ht="19" customHeight="1" s="28">
      <c r="O54" s="233" t="n"/>
      <c r="P54" s="233" t="n"/>
      <c r="Q54" s="233" t="n"/>
      <c r="R54" s="233" t="n"/>
      <c r="S54" s="233" t="n"/>
      <c r="T54" s="233" t="n"/>
      <c r="U54" s="233" t="n"/>
      <c r="V54" s="233" t="n"/>
      <c r="W54" s="233" t="n"/>
      <c r="X54" s="233" t="n"/>
      <c r="Y54" s="233" t="n"/>
      <c r="Z54" s="233" t="n"/>
      <c r="AA54" s="233" t="n"/>
      <c r="AB54" s="233" t="n"/>
      <c r="AC54" s="233" t="n"/>
      <c r="AD54" s="233" t="n"/>
      <c r="AE54" s="233" t="n"/>
      <c r="AF54" s="233" t="n"/>
      <c r="AG54" s="233" t="n"/>
      <c r="AH54" s="233" t="n"/>
      <c r="AI54" s="233" t="n"/>
      <c r="AJ54" s="233" t="n"/>
      <c r="AK54" s="233" t="n"/>
      <c r="AL54" s="233" t="n"/>
      <c r="AM54" s="233" t="n"/>
      <c r="AN54" s="233" t="n"/>
      <c r="AO54" s="233" t="n"/>
      <c r="AP54" s="233" t="n"/>
      <c r="AQ54" s="233" t="n"/>
      <c r="AR54" s="233" t="n"/>
    </row>
    <row r="55" ht="19" customHeight="1" s="28">
      <c r="O55" s="233" t="n"/>
      <c r="P55" s="233" t="n"/>
      <c r="Q55" s="233" t="n"/>
      <c r="R55" s="233" t="n"/>
      <c r="S55" s="233" t="n"/>
      <c r="T55" s="233" t="n"/>
      <c r="U55" s="233" t="n"/>
      <c r="V55" s="233" t="n"/>
      <c r="W55" s="233" t="n"/>
      <c r="X55" s="233" t="n"/>
      <c r="Y55" s="233" t="n"/>
      <c r="Z55" s="233" t="n"/>
      <c r="AA55" s="233" t="n"/>
      <c r="AB55" s="233" t="n"/>
      <c r="AC55" s="233" t="n"/>
      <c r="AD55" s="233" t="n"/>
      <c r="AE55" s="233" t="n"/>
      <c r="AF55" s="233" t="n"/>
      <c r="AG55" s="233" t="n"/>
      <c r="AH55" s="233" t="n"/>
      <c r="AI55" s="233" t="n"/>
      <c r="AJ55" s="233" t="n"/>
      <c r="AK55" s="233" t="n"/>
      <c r="AL55" s="233" t="n"/>
      <c r="AM55" s="233" t="n"/>
      <c r="AN55" s="233" t="n"/>
      <c r="AO55" s="233" t="n"/>
      <c r="AP55" s="233" t="n"/>
      <c r="AQ55" s="233" t="n"/>
      <c r="AR55" s="233" t="n"/>
    </row>
    <row r="56" ht="19" customHeight="1" s="28">
      <c r="O56" s="233" t="n"/>
      <c r="P56" s="233" t="n"/>
      <c r="Q56" s="233" t="n"/>
      <c r="R56" s="233" t="n"/>
      <c r="S56" s="233" t="n"/>
      <c r="T56" s="233" t="n"/>
      <c r="U56" s="233" t="n"/>
      <c r="V56" s="233" t="n"/>
      <c r="W56" s="233" t="n"/>
      <c r="X56" s="233" t="n"/>
      <c r="Y56" s="233" t="n"/>
      <c r="Z56" s="233" t="n"/>
      <c r="AA56" s="233" t="n"/>
      <c r="AB56" s="233" t="n"/>
      <c r="AC56" s="233" t="n"/>
      <c r="AD56" s="233" t="n"/>
      <c r="AE56" s="233" t="n"/>
      <c r="AF56" s="233" t="n"/>
      <c r="AG56" s="233" t="n"/>
      <c r="AH56" s="233" t="n"/>
      <c r="AI56" s="233" t="n"/>
      <c r="AJ56" s="233" t="n"/>
      <c r="AK56" s="233" t="n"/>
      <c r="AL56" s="233" t="n"/>
      <c r="AM56" s="233" t="n"/>
      <c r="AN56" s="233" t="n"/>
      <c r="AO56" s="233" t="n"/>
      <c r="AP56" s="233" t="n"/>
      <c r="AQ56" s="233" t="n"/>
      <c r="AR56" s="233" t="n"/>
    </row>
    <row r="57" ht="19" customHeight="1" s="28">
      <c r="O57" s="233" t="n"/>
      <c r="P57" s="233" t="n"/>
      <c r="Q57" s="233" t="n"/>
      <c r="R57" s="233" t="n"/>
      <c r="S57" s="233" t="n"/>
      <c r="T57" s="233" t="n"/>
      <c r="U57" s="233" t="n"/>
      <c r="V57" s="233" t="n"/>
      <c r="W57" s="233" t="n"/>
      <c r="X57" s="233" t="n"/>
      <c r="Y57" s="233" t="n"/>
      <c r="Z57" s="233" t="n"/>
      <c r="AA57" s="233" t="n"/>
      <c r="AB57" s="233" t="n"/>
      <c r="AC57" s="233" t="n"/>
      <c r="AD57" s="233" t="n"/>
      <c r="AE57" s="233" t="n"/>
      <c r="AF57" s="233" t="n"/>
      <c r="AG57" s="233" t="n"/>
      <c r="AH57" s="233" t="n"/>
      <c r="AI57" s="233" t="n"/>
      <c r="AJ57" s="233" t="n"/>
      <c r="AK57" s="233" t="n"/>
      <c r="AL57" s="233" t="n"/>
      <c r="AM57" s="233" t="n"/>
      <c r="AN57" s="233" t="n"/>
      <c r="AO57" s="233" t="n"/>
      <c r="AP57" s="233" t="n"/>
      <c r="AQ57" s="233" t="n"/>
      <c r="AR57" s="233" t="n"/>
    </row>
    <row r="58" ht="19" customHeight="1" s="28">
      <c r="O58" s="233" t="n"/>
      <c r="P58" s="233" t="n"/>
      <c r="Q58" s="233" t="n"/>
      <c r="R58" s="233" t="n"/>
      <c r="S58" s="233" t="n"/>
      <c r="T58" s="233" t="n"/>
      <c r="U58" s="233" t="n"/>
      <c r="V58" s="233" t="n"/>
      <c r="W58" s="233" t="n"/>
      <c r="X58" s="233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  <c r="AK58" s="233" t="n"/>
      <c r="AL58" s="233" t="n"/>
      <c r="AM58" s="233" t="n"/>
      <c r="AN58" s="233" t="n"/>
      <c r="AO58" s="233" t="n"/>
      <c r="AP58" s="233" t="n"/>
      <c r="AQ58" s="233" t="n"/>
      <c r="AR58" s="233" t="n"/>
    </row>
    <row r="59" ht="19" customHeight="1" s="28">
      <c r="O59" s="233" t="n"/>
      <c r="P59" s="233" t="n"/>
      <c r="Q59" s="233" t="n"/>
      <c r="R59" s="233" t="n"/>
      <c r="S59" s="233" t="n"/>
      <c r="T59" s="233" t="n"/>
      <c r="U59" s="233" t="n"/>
      <c r="V59" s="233" t="n"/>
      <c r="W59" s="233" t="n"/>
      <c r="X59" s="233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  <c r="AK59" s="233" t="n"/>
      <c r="AL59" s="233" t="n"/>
      <c r="AM59" s="233" t="n"/>
      <c r="AN59" s="233" t="n"/>
      <c r="AO59" s="233" t="n"/>
      <c r="AP59" s="233" t="n"/>
      <c r="AQ59" s="233" t="n"/>
      <c r="AR59" s="233" t="n"/>
    </row>
    <row r="60" ht="19" customHeight="1" s="28">
      <c r="O60" s="233" t="n"/>
      <c r="P60" s="233" t="n"/>
      <c r="Q60" s="233" t="n"/>
      <c r="R60" s="233" t="n"/>
      <c r="S60" s="233" t="n"/>
      <c r="T60" s="233" t="n"/>
      <c r="U60" s="233" t="n"/>
      <c r="V60" s="233" t="n"/>
      <c r="W60" s="233" t="n"/>
      <c r="X60" s="233" t="n"/>
      <c r="Y60" s="233" t="n"/>
      <c r="Z60" s="233" t="n"/>
      <c r="AA60" s="233" t="n"/>
      <c r="AB60" s="233" t="n"/>
      <c r="AC60" s="233" t="n"/>
      <c r="AD60" s="233" t="n"/>
      <c r="AE60" s="233" t="n"/>
      <c r="AF60" s="233" t="n"/>
      <c r="AG60" s="233" t="n"/>
      <c r="AH60" s="233" t="n"/>
      <c r="AI60" s="233" t="n"/>
      <c r="AJ60" s="233" t="n"/>
      <c r="AK60" s="233" t="n"/>
      <c r="AL60" s="233" t="n"/>
      <c r="AM60" s="233" t="n"/>
      <c r="AN60" s="233" t="n"/>
      <c r="AO60" s="233" t="n"/>
      <c r="AP60" s="233" t="n"/>
      <c r="AQ60" s="233" t="n"/>
      <c r="AR60" s="233" t="n"/>
    </row>
    <row r="61">
      <c r="A61" s="233" t="n"/>
      <c r="B61" s="233" t="n"/>
      <c r="C61" s="233" t="n"/>
      <c r="D61" s="233" t="n"/>
      <c r="E61" s="233" t="n"/>
      <c r="F61" s="233" t="n"/>
      <c r="G61" s="233" t="n"/>
      <c r="H61" s="233" t="n"/>
      <c r="I61" s="233" t="n"/>
      <c r="J61" s="233" t="n"/>
      <c r="K61" s="233" t="n"/>
      <c r="L61" s="233" t="n"/>
      <c r="M61" s="233" t="n"/>
      <c r="N61" s="233" t="n"/>
      <c r="O61" s="233" t="n"/>
      <c r="P61" s="233" t="n"/>
      <c r="Q61" s="233" t="n"/>
      <c r="R61" s="233" t="n"/>
      <c r="S61" s="233" t="n"/>
      <c r="T61" s="233" t="n"/>
      <c r="U61" s="233" t="n"/>
      <c r="V61" s="233" t="n"/>
      <c r="W61" s="233" t="n"/>
      <c r="X61" s="233" t="n"/>
      <c r="Y61" s="233" t="n"/>
      <c r="Z61" s="233" t="n"/>
      <c r="AA61" s="233" t="n"/>
      <c r="AB61" s="233" t="n"/>
      <c r="AC61" s="233" t="n"/>
      <c r="AD61" s="233" t="n"/>
      <c r="AE61" s="233" t="n"/>
      <c r="AF61" s="233" t="n"/>
      <c r="AG61" s="233" t="n"/>
      <c r="AH61" s="233" t="n"/>
      <c r="AI61" s="233" t="n"/>
      <c r="AJ61" s="233" t="n"/>
      <c r="AK61" s="233" t="n"/>
      <c r="AL61" s="233" t="n"/>
      <c r="AM61" s="233" t="n"/>
      <c r="AN61" s="233" t="n"/>
      <c r="AO61" s="233" t="n"/>
      <c r="AP61" s="233" t="n"/>
      <c r="AQ61" s="233" t="n"/>
      <c r="AR61" s="233" t="n"/>
    </row>
    <row r="62">
      <c r="A62" s="233" t="n"/>
      <c r="B62" s="233" t="n"/>
      <c r="C62" s="233" t="n"/>
      <c r="D62" s="233" t="n"/>
      <c r="E62" s="233" t="n"/>
      <c r="F62" s="233" t="n"/>
      <c r="G62" s="233" t="n"/>
      <c r="H62" s="233" t="n"/>
      <c r="I62" s="233" t="n"/>
      <c r="J62" s="233" t="n"/>
      <c r="K62" s="233" t="n"/>
      <c r="L62" s="233" t="n"/>
      <c r="M62" s="233" t="n"/>
      <c r="N62" s="233" t="n"/>
      <c r="O62" s="233" t="n"/>
      <c r="P62" s="233" t="n"/>
      <c r="Q62" s="233" t="n"/>
      <c r="R62" s="233" t="n"/>
      <c r="S62" s="233" t="n"/>
      <c r="T62" s="233" t="n"/>
      <c r="U62" s="233" t="n"/>
      <c r="V62" s="233" t="n"/>
      <c r="W62" s="233" t="n"/>
      <c r="X62" s="233" t="n"/>
      <c r="Y62" s="233" t="n"/>
      <c r="Z62" s="233" t="n"/>
      <c r="AA62" s="233" t="n"/>
      <c r="AB62" s="233" t="n"/>
      <c r="AC62" s="233" t="n"/>
      <c r="AD62" s="233" t="n"/>
      <c r="AE62" s="233" t="n"/>
      <c r="AF62" s="233" t="n"/>
      <c r="AG62" s="233" t="n"/>
      <c r="AH62" s="233" t="n"/>
      <c r="AI62" s="233" t="n"/>
      <c r="AJ62" s="233" t="n"/>
      <c r="AK62" s="233" t="n"/>
      <c r="AL62" s="233" t="n"/>
      <c r="AM62" s="233" t="n"/>
      <c r="AN62" s="233" t="n"/>
      <c r="AO62" s="233" t="n"/>
      <c r="AP62" s="233" t="n"/>
      <c r="AQ62" s="233" t="n"/>
      <c r="AR62" s="233" t="n"/>
    </row>
    <row r="63">
      <c r="A63" s="233" t="n"/>
      <c r="B63" s="233" t="n"/>
      <c r="C63" s="233" t="n"/>
      <c r="D63" s="233" t="n"/>
      <c r="E63" s="233" t="n"/>
      <c r="F63" s="233" t="n"/>
      <c r="G63" s="233" t="n"/>
      <c r="H63" s="233" t="n"/>
      <c r="I63" s="233" t="n"/>
      <c r="J63" s="233" t="n"/>
      <c r="K63" s="233" t="n"/>
      <c r="L63" s="233" t="n"/>
      <c r="M63" s="233" t="n"/>
      <c r="N63" s="233" t="n"/>
      <c r="O63" s="233" t="n"/>
      <c r="P63" s="233" t="n"/>
      <c r="Q63" s="233" t="n"/>
      <c r="R63" s="233" t="n"/>
      <c r="S63" s="233" t="n"/>
      <c r="T63" s="233" t="n"/>
      <c r="U63" s="233" t="n"/>
      <c r="V63" s="233" t="n"/>
      <c r="W63" s="233" t="n"/>
      <c r="X63" s="233" t="n"/>
      <c r="Y63" s="233" t="n"/>
      <c r="Z63" s="233" t="n"/>
      <c r="AA63" s="233" t="n"/>
      <c r="AB63" s="233" t="n"/>
      <c r="AC63" s="233" t="n"/>
      <c r="AD63" s="233" t="n"/>
      <c r="AE63" s="233" t="n"/>
      <c r="AF63" s="233" t="n"/>
      <c r="AG63" s="233" t="n"/>
      <c r="AH63" s="233" t="n"/>
      <c r="AI63" s="233" t="n"/>
      <c r="AJ63" s="233" t="n"/>
      <c r="AK63" s="233" t="n"/>
      <c r="AL63" s="233" t="n"/>
      <c r="AM63" s="233" t="n"/>
      <c r="AN63" s="233" t="n"/>
      <c r="AO63" s="233" t="n"/>
      <c r="AP63" s="233" t="n"/>
      <c r="AQ63" s="233" t="n"/>
      <c r="AR63" s="233" t="n"/>
    </row>
    <row r="64">
      <c r="A64" s="233" t="n"/>
      <c r="B64" s="233" t="n"/>
      <c r="C64" s="233" t="n"/>
      <c r="D64" s="233" t="n"/>
      <c r="E64" s="233" t="n"/>
      <c r="F64" s="233" t="n"/>
      <c r="G64" s="233" t="n"/>
      <c r="H64" s="233" t="n"/>
      <c r="I64" s="233" t="n"/>
      <c r="J64" s="233" t="n"/>
      <c r="K64" s="233" t="n"/>
      <c r="L64" s="233" t="n"/>
      <c r="M64" s="233" t="n"/>
      <c r="N64" s="233" t="n"/>
      <c r="O64" s="233" t="n"/>
      <c r="P64" s="233" t="n"/>
      <c r="Q64" s="233" t="n"/>
      <c r="R64" s="233" t="n"/>
      <c r="S64" s="233" t="n"/>
      <c r="T64" s="233" t="n"/>
      <c r="U64" s="233" t="n"/>
      <c r="V64" s="233" t="n"/>
      <c r="W64" s="233" t="n"/>
      <c r="X64" s="233" t="n"/>
      <c r="Y64" s="233" t="n"/>
      <c r="Z64" s="233" t="n"/>
      <c r="AA64" s="233" t="n"/>
      <c r="AB64" s="233" t="n"/>
      <c r="AC64" s="233" t="n"/>
      <c r="AD64" s="233" t="n"/>
      <c r="AE64" s="233" t="n"/>
      <c r="AF64" s="233" t="n"/>
      <c r="AG64" s="233" t="n"/>
      <c r="AH64" s="233" t="n"/>
      <c r="AI64" s="233" t="n"/>
      <c r="AJ64" s="233" t="n"/>
      <c r="AK64" s="233" t="n"/>
      <c r="AL64" s="233" t="n"/>
      <c r="AM64" s="233" t="n"/>
      <c r="AN64" s="233" t="n"/>
      <c r="AO64" s="233" t="n"/>
      <c r="AP64" s="233" t="n"/>
      <c r="AQ64" s="233" t="n"/>
      <c r="AR64" s="233" t="n"/>
    </row>
    <row r="65">
      <c r="A65" s="233" t="n"/>
      <c r="B65" s="233" t="n"/>
      <c r="C65" s="233" t="n"/>
      <c r="D65" s="233" t="n"/>
      <c r="E65" s="233" t="n"/>
      <c r="F65" s="233" t="n"/>
      <c r="G65" s="233" t="n"/>
      <c r="H65" s="233" t="n"/>
      <c r="I65" s="233" t="n"/>
      <c r="J65" s="233" t="n"/>
      <c r="K65" s="233" t="n"/>
      <c r="L65" s="233" t="n"/>
      <c r="M65" s="233" t="n"/>
      <c r="N65" s="233" t="n"/>
      <c r="O65" s="233" t="n"/>
      <c r="P65" s="233" t="n"/>
      <c r="Q65" s="233" t="n"/>
      <c r="R65" s="233" t="n"/>
      <c r="S65" s="233" t="n"/>
      <c r="T65" s="233" t="n"/>
      <c r="U65" s="233" t="n"/>
      <c r="V65" s="233" t="n"/>
      <c r="W65" s="233" t="n"/>
      <c r="X65" s="233" t="n"/>
      <c r="Y65" s="233" t="n"/>
      <c r="Z65" s="233" t="n"/>
      <c r="AA65" s="233" t="n"/>
      <c r="AB65" s="233" t="n"/>
      <c r="AC65" s="233" t="n"/>
      <c r="AD65" s="233" t="n"/>
      <c r="AE65" s="233" t="n"/>
      <c r="AF65" s="233" t="n"/>
      <c r="AG65" s="233" t="n"/>
      <c r="AH65" s="233" t="n"/>
      <c r="AI65" s="233" t="n"/>
      <c r="AJ65" s="233" t="n"/>
      <c r="AK65" s="233" t="n"/>
      <c r="AL65" s="233" t="n"/>
      <c r="AM65" s="233" t="n"/>
      <c r="AN65" s="233" t="n"/>
      <c r="AO65" s="233" t="n"/>
      <c r="AP65" s="233" t="n"/>
      <c r="AQ65" s="233" t="n"/>
      <c r="AR65" s="233" t="n"/>
    </row>
    <row r="66">
      <c r="A66" s="233" t="n"/>
      <c r="B66" s="233" t="n"/>
      <c r="C66" s="233" t="n"/>
      <c r="D66" s="233" t="n"/>
      <c r="E66" s="233" t="n"/>
      <c r="F66" s="233" t="n"/>
      <c r="G66" s="233" t="n"/>
      <c r="H66" s="233" t="n"/>
      <c r="I66" s="233" t="n"/>
      <c r="J66" s="233" t="n"/>
      <c r="K66" s="233" t="n"/>
      <c r="L66" s="233" t="n"/>
      <c r="M66" s="233" t="n"/>
      <c r="N66" s="233" t="n"/>
      <c r="O66" s="233" t="n"/>
      <c r="P66" s="233" t="n"/>
      <c r="Q66" s="233" t="n"/>
      <c r="R66" s="233" t="n"/>
      <c r="S66" s="233" t="n"/>
      <c r="T66" s="233" t="n"/>
      <c r="U66" s="233" t="n"/>
      <c r="V66" s="233" t="n"/>
      <c r="W66" s="233" t="n"/>
      <c r="X66" s="233" t="n"/>
      <c r="Y66" s="233" t="n"/>
      <c r="Z66" s="233" t="n"/>
      <c r="AA66" s="233" t="n"/>
      <c r="AB66" s="233" t="n"/>
      <c r="AC66" s="233" t="n"/>
      <c r="AD66" s="233" t="n"/>
      <c r="AE66" s="233" t="n"/>
      <c r="AF66" s="233" t="n"/>
      <c r="AG66" s="233" t="n"/>
      <c r="AH66" s="233" t="n"/>
      <c r="AI66" s="233" t="n"/>
      <c r="AJ66" s="233" t="n"/>
      <c r="AK66" s="233" t="n"/>
      <c r="AL66" s="233" t="n"/>
      <c r="AM66" s="233" t="n"/>
      <c r="AN66" s="233" t="n"/>
      <c r="AO66" s="233" t="n"/>
      <c r="AP66" s="233" t="n"/>
      <c r="AQ66" s="233" t="n"/>
      <c r="AR66" s="233" t="n"/>
    </row>
    <row r="67">
      <c r="A67" s="233" t="n"/>
      <c r="B67" s="233" t="n"/>
      <c r="C67" s="233" t="n"/>
      <c r="D67" s="233" t="n"/>
      <c r="E67" s="233" t="n"/>
      <c r="F67" s="233" t="n"/>
      <c r="G67" s="233" t="n"/>
      <c r="H67" s="233" t="n"/>
      <c r="I67" s="233" t="n"/>
      <c r="J67" s="233" t="n"/>
      <c r="K67" s="233" t="n"/>
      <c r="L67" s="233" t="n"/>
      <c r="M67" s="233" t="n"/>
      <c r="N67" s="233" t="n"/>
      <c r="O67" s="233" t="n"/>
      <c r="P67" s="233" t="n"/>
      <c r="Q67" s="233" t="n"/>
      <c r="R67" s="233" t="n"/>
      <c r="S67" s="233" t="n"/>
      <c r="T67" s="233" t="n"/>
      <c r="U67" s="233" t="n"/>
      <c r="V67" s="233" t="n"/>
      <c r="W67" s="233" t="n"/>
      <c r="X67" s="233" t="n"/>
      <c r="Y67" s="233" t="n"/>
      <c r="Z67" s="233" t="n"/>
      <c r="AA67" s="233" t="n"/>
      <c r="AB67" s="233" t="n"/>
      <c r="AC67" s="233" t="n"/>
      <c r="AD67" s="233" t="n"/>
      <c r="AE67" s="233" t="n"/>
      <c r="AF67" s="233" t="n"/>
      <c r="AG67" s="233" t="n"/>
      <c r="AH67" s="233" t="n"/>
      <c r="AI67" s="233" t="n"/>
      <c r="AJ67" s="233" t="n"/>
      <c r="AK67" s="233" t="n"/>
      <c r="AL67" s="233" t="n"/>
      <c r="AM67" s="233" t="n"/>
      <c r="AN67" s="233" t="n"/>
      <c r="AO67" s="233" t="n"/>
      <c r="AP67" s="233" t="n"/>
      <c r="AQ67" s="233" t="n"/>
      <c r="AR67" s="233" t="n"/>
    </row>
    <row r="68">
      <c r="A68" s="233" t="n"/>
      <c r="B68" s="233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233" t="n"/>
      <c r="O68" s="233" t="n"/>
      <c r="P68" s="233" t="n"/>
      <c r="Q68" s="233" t="n"/>
      <c r="R68" s="233" t="n"/>
      <c r="S68" s="233" t="n"/>
      <c r="T68" s="233" t="n"/>
      <c r="U68" s="233" t="n"/>
      <c r="V68" s="233" t="n"/>
      <c r="W68" s="233" t="n"/>
      <c r="X68" s="233" t="n"/>
      <c r="Y68" s="233" t="n"/>
      <c r="Z68" s="233" t="n"/>
      <c r="AA68" s="233" t="n"/>
      <c r="AB68" s="233" t="n"/>
      <c r="AC68" s="233" t="n"/>
      <c r="AD68" s="233" t="n"/>
      <c r="AE68" s="233" t="n"/>
      <c r="AF68" s="233" t="n"/>
      <c r="AG68" s="233" t="n"/>
      <c r="AH68" s="233" t="n"/>
      <c r="AI68" s="233" t="n"/>
      <c r="AJ68" s="233" t="n"/>
      <c r="AK68" s="233" t="n"/>
      <c r="AL68" s="233" t="n"/>
      <c r="AM68" s="233" t="n"/>
      <c r="AN68" s="233" t="n"/>
      <c r="AO68" s="233" t="n"/>
      <c r="AP68" s="233" t="n"/>
      <c r="AQ68" s="233" t="n"/>
      <c r="AR68" s="233" t="n"/>
    </row>
    <row r="69">
      <c r="A69" s="233" t="n"/>
      <c r="B69" s="233" t="n"/>
      <c r="C69" s="233" t="n"/>
      <c r="D69" s="233" t="n"/>
      <c r="E69" s="233" t="n"/>
      <c r="F69" s="233" t="n"/>
      <c r="G69" s="233" t="n"/>
      <c r="H69" s="233" t="n"/>
      <c r="I69" s="233" t="n"/>
      <c r="J69" s="233" t="n"/>
      <c r="K69" s="233" t="n"/>
      <c r="L69" s="233" t="n"/>
      <c r="M69" s="233" t="n"/>
      <c r="N69" s="233" t="n"/>
      <c r="O69" s="233" t="n"/>
      <c r="P69" s="233" t="n"/>
      <c r="Q69" s="233" t="n"/>
      <c r="R69" s="233" t="n"/>
      <c r="S69" s="233" t="n"/>
      <c r="T69" s="233" t="n"/>
      <c r="U69" s="233" t="n"/>
      <c r="V69" s="233" t="n"/>
      <c r="W69" s="233" t="n"/>
      <c r="X69" s="233" t="n"/>
      <c r="Y69" s="233" t="n"/>
      <c r="Z69" s="233" t="n"/>
      <c r="AA69" s="233" t="n"/>
      <c r="AB69" s="233" t="n"/>
      <c r="AC69" s="233" t="n"/>
      <c r="AD69" s="233" t="n"/>
      <c r="AE69" s="233" t="n"/>
      <c r="AF69" s="233" t="n"/>
      <c r="AG69" s="233" t="n"/>
      <c r="AH69" s="233" t="n"/>
      <c r="AI69" s="233" t="n"/>
      <c r="AJ69" s="233" t="n"/>
      <c r="AK69" s="233" t="n"/>
      <c r="AL69" s="233" t="n"/>
      <c r="AM69" s="233" t="n"/>
      <c r="AN69" s="233" t="n"/>
      <c r="AO69" s="233" t="n"/>
      <c r="AP69" s="233" t="n"/>
      <c r="AQ69" s="233" t="n"/>
      <c r="AR69" s="233" t="n"/>
    </row>
    <row r="70">
      <c r="A70" s="233" t="n"/>
      <c r="B70" s="233" t="n"/>
      <c r="C70" s="233" t="n"/>
      <c r="D70" s="233" t="n"/>
      <c r="E70" s="233" t="n"/>
      <c r="F70" s="233" t="n"/>
      <c r="G70" s="233" t="n"/>
      <c r="H70" s="233" t="n"/>
      <c r="I70" s="233" t="n"/>
      <c r="J70" s="233" t="n"/>
      <c r="K70" s="233" t="n"/>
      <c r="L70" s="233" t="n"/>
      <c r="M70" s="233" t="n"/>
      <c r="N70" s="233" t="n"/>
      <c r="O70" s="233" t="n"/>
      <c r="P70" s="233" t="n"/>
      <c r="Q70" s="233" t="n"/>
      <c r="R70" s="233" t="n"/>
      <c r="S70" s="233" t="n"/>
      <c r="T70" s="233" t="n"/>
      <c r="U70" s="233" t="n"/>
      <c r="V70" s="233" t="n"/>
      <c r="W70" s="233" t="n"/>
      <c r="X70" s="233" t="n"/>
      <c r="Y70" s="233" t="n"/>
      <c r="Z70" s="233" t="n"/>
      <c r="AA70" s="233" t="n"/>
      <c r="AB70" s="233" t="n"/>
      <c r="AC70" s="233" t="n"/>
      <c r="AD70" s="233" t="n"/>
      <c r="AE70" s="233" t="n"/>
      <c r="AF70" s="233" t="n"/>
      <c r="AG70" s="233" t="n"/>
      <c r="AH70" s="233" t="n"/>
      <c r="AI70" s="233" t="n"/>
      <c r="AJ70" s="233" t="n"/>
      <c r="AK70" s="233" t="n"/>
      <c r="AL70" s="233" t="n"/>
      <c r="AM70" s="233" t="n"/>
      <c r="AN70" s="233" t="n"/>
      <c r="AO70" s="233" t="n"/>
      <c r="AP70" s="233" t="n"/>
      <c r="AQ70" s="233" t="n"/>
      <c r="AR70" s="233" t="n"/>
    </row>
    <row r="71">
      <c r="A71" s="233" t="n"/>
      <c r="B71" s="233" t="n"/>
      <c r="C71" s="233" t="n"/>
      <c r="D71" s="233" t="n"/>
      <c r="E71" s="233" t="n"/>
      <c r="F71" s="233" t="n"/>
      <c r="G71" s="233" t="n"/>
      <c r="H71" s="233" t="n"/>
      <c r="I71" s="233" t="n"/>
      <c r="J71" s="233" t="n"/>
      <c r="K71" s="233" t="n"/>
      <c r="L71" s="233" t="n"/>
      <c r="M71" s="233" t="n"/>
      <c r="N71" s="233" t="n"/>
      <c r="O71" s="233" t="n"/>
      <c r="P71" s="233" t="n"/>
      <c r="Q71" s="233" t="n"/>
      <c r="R71" s="233" t="n"/>
      <c r="S71" s="233" t="n"/>
      <c r="T71" s="233" t="n"/>
      <c r="U71" s="233" t="n"/>
      <c r="V71" s="233" t="n"/>
      <c r="W71" s="233" t="n"/>
      <c r="X71" s="233" t="n"/>
      <c r="Y71" s="233" t="n"/>
      <c r="Z71" s="233" t="n"/>
      <c r="AA71" s="233" t="n"/>
      <c r="AB71" s="233" t="n"/>
      <c r="AC71" s="233" t="n"/>
      <c r="AD71" s="233" t="n"/>
      <c r="AE71" s="233" t="n"/>
      <c r="AF71" s="233" t="n"/>
      <c r="AG71" s="233" t="n"/>
      <c r="AH71" s="233" t="n"/>
      <c r="AI71" s="233" t="n"/>
      <c r="AJ71" s="233" t="n"/>
      <c r="AK71" s="233" t="n"/>
      <c r="AL71" s="233" t="n"/>
      <c r="AM71" s="233" t="n"/>
      <c r="AN71" s="233" t="n"/>
      <c r="AO71" s="233" t="n"/>
      <c r="AP71" s="233" t="n"/>
      <c r="AQ71" s="233" t="n"/>
      <c r="AR71" s="233" t="n"/>
    </row>
    <row r="72">
      <c r="A72" s="233" t="n"/>
      <c r="B72" s="233" t="n"/>
      <c r="C72" s="233" t="n"/>
      <c r="D72" s="233" t="n"/>
      <c r="E72" s="233" t="n"/>
      <c r="F72" s="233" t="n"/>
      <c r="G72" s="233" t="n"/>
      <c r="H72" s="233" t="n"/>
      <c r="I72" s="233" t="n"/>
      <c r="J72" s="233" t="n"/>
      <c r="K72" s="233" t="n"/>
      <c r="L72" s="233" t="n"/>
      <c r="M72" s="233" t="n"/>
      <c r="N72" s="233" t="n"/>
      <c r="O72" s="233" t="n"/>
      <c r="P72" s="233" t="n"/>
      <c r="Q72" s="233" t="n"/>
      <c r="R72" s="233" t="n"/>
      <c r="S72" s="233" t="n"/>
      <c r="T72" s="233" t="n"/>
      <c r="U72" s="233" t="n"/>
      <c r="V72" s="233" t="n"/>
      <c r="W72" s="233" t="n"/>
      <c r="X72" s="233" t="n"/>
      <c r="Y72" s="233" t="n"/>
      <c r="Z72" s="233" t="n"/>
      <c r="AA72" s="233" t="n"/>
      <c r="AB72" s="233" t="n"/>
      <c r="AC72" s="233" t="n"/>
      <c r="AD72" s="233" t="n"/>
      <c r="AE72" s="233" t="n"/>
      <c r="AF72" s="233" t="n"/>
      <c r="AG72" s="233" t="n"/>
      <c r="AH72" s="233" t="n"/>
      <c r="AI72" s="233" t="n"/>
      <c r="AJ72" s="233" t="n"/>
      <c r="AK72" s="233" t="n"/>
      <c r="AL72" s="233" t="n"/>
      <c r="AM72" s="233" t="n"/>
      <c r="AN72" s="233" t="n"/>
      <c r="AO72" s="233" t="n"/>
      <c r="AP72" s="233" t="n"/>
      <c r="AQ72" s="233" t="n"/>
      <c r="AR72" s="233" t="n"/>
    </row>
    <row r="73">
      <c r="A73" s="233" t="n"/>
      <c r="B73" s="233" t="n"/>
      <c r="C73" s="233" t="n"/>
      <c r="D73" s="233" t="n"/>
      <c r="E73" s="233" t="n"/>
      <c r="F73" s="233" t="n"/>
      <c r="G73" s="233" t="n"/>
      <c r="H73" s="233" t="n"/>
      <c r="I73" s="233" t="n"/>
      <c r="J73" s="233" t="n"/>
      <c r="K73" s="233" t="n"/>
      <c r="L73" s="233" t="n"/>
      <c r="M73" s="233" t="n"/>
      <c r="N73" s="233" t="n"/>
      <c r="O73" s="233" t="n"/>
      <c r="P73" s="233" t="n"/>
      <c r="Q73" s="233" t="n"/>
      <c r="R73" s="233" t="n"/>
      <c r="S73" s="233" t="n"/>
      <c r="T73" s="233" t="n"/>
      <c r="U73" s="233" t="n"/>
      <c r="V73" s="233" t="n"/>
      <c r="W73" s="233" t="n"/>
      <c r="X73" s="233" t="n"/>
      <c r="Y73" s="233" t="n"/>
      <c r="Z73" s="233" t="n"/>
      <c r="AA73" s="233" t="n"/>
      <c r="AB73" s="233" t="n"/>
      <c r="AC73" s="233" t="n"/>
      <c r="AD73" s="233" t="n"/>
      <c r="AE73" s="233" t="n"/>
      <c r="AF73" s="233" t="n"/>
      <c r="AG73" s="233" t="n"/>
      <c r="AH73" s="233" t="n"/>
      <c r="AI73" s="233" t="n"/>
      <c r="AJ73" s="233" t="n"/>
      <c r="AK73" s="233" t="n"/>
      <c r="AL73" s="233" t="n"/>
      <c r="AM73" s="233" t="n"/>
      <c r="AN73" s="233" t="n"/>
      <c r="AO73" s="233" t="n"/>
      <c r="AP73" s="233" t="n"/>
      <c r="AQ73" s="233" t="n"/>
      <c r="AR73" s="233" t="n"/>
    </row>
    <row r="74">
      <c r="A74" s="233" t="n"/>
      <c r="B74" s="233" t="n"/>
      <c r="C74" s="233" t="n"/>
      <c r="D74" s="233" t="n"/>
      <c r="E74" s="233" t="n"/>
      <c r="F74" s="233" t="n"/>
      <c r="G74" s="233" t="n"/>
      <c r="H74" s="233" t="n"/>
      <c r="I74" s="233" t="n"/>
      <c r="J74" s="233" t="n"/>
      <c r="K74" s="233" t="n"/>
      <c r="L74" s="233" t="n"/>
      <c r="M74" s="233" t="n"/>
      <c r="N74" s="233" t="n"/>
      <c r="O74" s="233" t="n"/>
      <c r="P74" s="233" t="n"/>
      <c r="Q74" s="233" t="n"/>
      <c r="R74" s="233" t="n"/>
      <c r="S74" s="233" t="n"/>
      <c r="T74" s="233" t="n"/>
      <c r="U74" s="233" t="n"/>
      <c r="V74" s="233" t="n"/>
      <c r="W74" s="233" t="n"/>
      <c r="X74" s="233" t="n"/>
      <c r="Y74" s="233" t="n"/>
      <c r="Z74" s="233" t="n"/>
      <c r="AA74" s="233" t="n"/>
      <c r="AB74" s="233" t="n"/>
      <c r="AC74" s="233" t="n"/>
      <c r="AD74" s="233" t="n"/>
      <c r="AE74" s="233" t="n"/>
      <c r="AF74" s="233" t="n"/>
      <c r="AG74" s="233" t="n"/>
      <c r="AH74" s="233" t="n"/>
      <c r="AI74" s="233" t="n"/>
      <c r="AJ74" s="233" t="n"/>
      <c r="AK74" s="233" t="n"/>
      <c r="AL74" s="233" t="n"/>
      <c r="AM74" s="233" t="n"/>
      <c r="AN74" s="233" t="n"/>
      <c r="AO74" s="233" t="n"/>
      <c r="AP74" s="233" t="n"/>
      <c r="AQ74" s="233" t="n"/>
      <c r="AR74" s="233" t="n"/>
    </row>
    <row r="75">
      <c r="A75" s="233" t="n"/>
      <c r="B75" s="233" t="n"/>
      <c r="C75" s="233" t="n"/>
      <c r="D75" s="233" t="n"/>
      <c r="E75" s="233" t="n"/>
      <c r="F75" s="233" t="n"/>
      <c r="G75" s="233" t="n"/>
      <c r="H75" s="233" t="n"/>
      <c r="I75" s="233" t="n"/>
      <c r="J75" s="233" t="n"/>
      <c r="K75" s="233" t="n"/>
      <c r="L75" s="233" t="n"/>
      <c r="M75" s="233" t="n"/>
      <c r="N75" s="233" t="n"/>
      <c r="O75" s="233" t="n"/>
      <c r="P75" s="233" t="n"/>
      <c r="Q75" s="233" t="n"/>
      <c r="R75" s="233" t="n"/>
      <c r="S75" s="233" t="n"/>
      <c r="T75" s="233" t="n"/>
      <c r="U75" s="233" t="n"/>
      <c r="V75" s="233" t="n"/>
      <c r="W75" s="233" t="n"/>
      <c r="X75" s="233" t="n"/>
      <c r="Y75" s="233" t="n"/>
      <c r="Z75" s="233" t="n"/>
      <c r="AA75" s="233" t="n"/>
      <c r="AB75" s="233" t="n"/>
      <c r="AC75" s="233" t="n"/>
      <c r="AD75" s="233" t="n"/>
      <c r="AE75" s="233" t="n"/>
      <c r="AF75" s="233" t="n"/>
      <c r="AG75" s="233" t="n"/>
      <c r="AH75" s="233" t="n"/>
      <c r="AI75" s="233" t="n"/>
      <c r="AJ75" s="233" t="n"/>
      <c r="AK75" s="233" t="n"/>
      <c r="AL75" s="233" t="n"/>
      <c r="AM75" s="233" t="n"/>
      <c r="AN75" s="233" t="n"/>
      <c r="AO75" s="233" t="n"/>
      <c r="AP75" s="233" t="n"/>
      <c r="AQ75" s="233" t="n"/>
      <c r="AR75" s="233" t="n"/>
    </row>
    <row r="76">
      <c r="A76" s="233" t="n"/>
      <c r="B76" s="233" t="n"/>
      <c r="C76" s="233" t="n"/>
      <c r="D76" s="233" t="n"/>
      <c r="E76" s="233" t="n"/>
      <c r="F76" s="233" t="n"/>
      <c r="G76" s="233" t="n"/>
      <c r="H76" s="233" t="n"/>
      <c r="I76" s="233" t="n"/>
      <c r="J76" s="233" t="n"/>
      <c r="K76" s="233" t="n"/>
      <c r="L76" s="233" t="n"/>
      <c r="M76" s="233" t="n"/>
      <c r="N76" s="233" t="n"/>
      <c r="O76" s="233" t="n"/>
      <c r="P76" s="233" t="n"/>
      <c r="Q76" s="233" t="n"/>
      <c r="R76" s="233" t="n"/>
      <c r="S76" s="233" t="n"/>
      <c r="T76" s="233" t="n"/>
      <c r="U76" s="233" t="n"/>
      <c r="V76" s="233" t="n"/>
      <c r="W76" s="233" t="n"/>
      <c r="X76" s="233" t="n"/>
      <c r="Y76" s="233" t="n"/>
      <c r="Z76" s="233" t="n"/>
      <c r="AA76" s="233" t="n"/>
      <c r="AB76" s="233" t="n"/>
      <c r="AC76" s="233" t="n"/>
      <c r="AD76" s="233" t="n"/>
      <c r="AE76" s="233" t="n"/>
      <c r="AF76" s="233" t="n"/>
      <c r="AG76" s="233" t="n"/>
      <c r="AH76" s="233" t="n"/>
      <c r="AI76" s="233" t="n"/>
      <c r="AJ76" s="233" t="n"/>
      <c r="AK76" s="233" t="n"/>
      <c r="AL76" s="233" t="n"/>
      <c r="AM76" s="233" t="n"/>
      <c r="AN76" s="233" t="n"/>
      <c r="AO76" s="233" t="n"/>
      <c r="AP76" s="233" t="n"/>
      <c r="AQ76" s="233" t="n"/>
      <c r="AR76" s="233" t="n"/>
    </row>
    <row r="77">
      <c r="A77" s="233" t="n"/>
      <c r="B77" s="233" t="n"/>
      <c r="C77" s="233" t="n"/>
      <c r="D77" s="233" t="n"/>
      <c r="E77" s="233" t="n"/>
      <c r="F77" s="233" t="n"/>
      <c r="G77" s="233" t="n"/>
      <c r="H77" s="233" t="n"/>
      <c r="I77" s="233" t="n"/>
      <c r="J77" s="233" t="n"/>
      <c r="K77" s="233" t="n"/>
      <c r="L77" s="233" t="n"/>
      <c r="M77" s="233" t="n"/>
      <c r="N77" s="233" t="n"/>
      <c r="O77" s="233" t="n"/>
      <c r="P77" s="233" t="n"/>
      <c r="Q77" s="233" t="n"/>
      <c r="R77" s="233" t="n"/>
      <c r="S77" s="233" t="n"/>
      <c r="T77" s="233" t="n"/>
      <c r="U77" s="233" t="n"/>
      <c r="V77" s="233" t="n"/>
      <c r="W77" s="233" t="n"/>
      <c r="X77" s="233" t="n"/>
      <c r="Y77" s="233" t="n"/>
      <c r="Z77" s="233" t="n"/>
      <c r="AA77" s="233" t="n"/>
      <c r="AB77" s="233" t="n"/>
      <c r="AC77" s="233" t="n"/>
      <c r="AD77" s="233" t="n"/>
      <c r="AE77" s="233" t="n"/>
      <c r="AF77" s="233" t="n"/>
      <c r="AG77" s="233" t="n"/>
      <c r="AH77" s="233" t="n"/>
      <c r="AI77" s="233" t="n"/>
      <c r="AJ77" s="233" t="n"/>
      <c r="AK77" s="233" t="n"/>
      <c r="AL77" s="233" t="n"/>
      <c r="AM77" s="233" t="n"/>
      <c r="AN77" s="233" t="n"/>
      <c r="AO77" s="233" t="n"/>
      <c r="AP77" s="233" t="n"/>
      <c r="AQ77" s="233" t="n"/>
      <c r="AR77" s="233" t="n"/>
    </row>
    <row r="78">
      <c r="A78" s="233" t="n"/>
      <c r="B78" s="233" t="n"/>
      <c r="C78" s="233" t="n"/>
      <c r="D78" s="233" t="n"/>
      <c r="E78" s="233" t="n"/>
      <c r="F78" s="233" t="n"/>
      <c r="G78" s="233" t="n"/>
      <c r="H78" s="233" t="n"/>
      <c r="I78" s="233" t="n"/>
      <c r="J78" s="233" t="n"/>
      <c r="K78" s="233" t="n"/>
      <c r="L78" s="233" t="n"/>
      <c r="M78" s="233" t="n"/>
      <c r="N78" s="233" t="n"/>
      <c r="O78" s="233" t="n"/>
      <c r="P78" s="233" t="n"/>
      <c r="Q78" s="233" t="n"/>
      <c r="R78" s="233" t="n"/>
      <c r="S78" s="233" t="n"/>
      <c r="T78" s="233" t="n"/>
      <c r="U78" s="233" t="n"/>
      <c r="V78" s="233" t="n"/>
      <c r="W78" s="233" t="n"/>
      <c r="X78" s="233" t="n"/>
      <c r="Y78" s="233" t="n"/>
      <c r="Z78" s="233" t="n"/>
      <c r="AA78" s="233" t="n"/>
      <c r="AB78" s="233" t="n"/>
      <c r="AC78" s="233" t="n"/>
      <c r="AD78" s="233" t="n"/>
      <c r="AE78" s="233" t="n"/>
      <c r="AF78" s="233" t="n"/>
      <c r="AG78" s="233" t="n"/>
      <c r="AH78" s="233" t="n"/>
      <c r="AI78" s="233" t="n"/>
      <c r="AJ78" s="233" t="n"/>
      <c r="AK78" s="233" t="n"/>
      <c r="AL78" s="233" t="n"/>
      <c r="AM78" s="233" t="n"/>
      <c r="AN78" s="233" t="n"/>
      <c r="AO78" s="233" t="n"/>
      <c r="AP78" s="233" t="n"/>
      <c r="AQ78" s="233" t="n"/>
      <c r="AR78" s="233" t="n"/>
    </row>
    <row r="79">
      <c r="A79" s="233" t="n"/>
      <c r="B79" s="233" t="n"/>
      <c r="C79" s="233" t="n"/>
      <c r="D79" s="233" t="n"/>
      <c r="E79" s="233" t="n"/>
      <c r="F79" s="233" t="n"/>
      <c r="G79" s="233" t="n"/>
      <c r="H79" s="233" t="n"/>
      <c r="I79" s="233" t="n"/>
      <c r="J79" s="233" t="n"/>
      <c r="K79" s="233" t="n"/>
      <c r="L79" s="233" t="n"/>
      <c r="M79" s="233" t="n"/>
      <c r="N79" s="233" t="n"/>
      <c r="O79" s="233" t="n"/>
      <c r="P79" s="233" t="n"/>
      <c r="Q79" s="233" t="n"/>
      <c r="R79" s="233" t="n"/>
      <c r="S79" s="233" t="n"/>
      <c r="T79" s="233" t="n"/>
      <c r="U79" s="233" t="n"/>
      <c r="V79" s="233" t="n"/>
      <c r="W79" s="233" t="n"/>
      <c r="X79" s="233" t="n"/>
      <c r="Y79" s="233" t="n"/>
      <c r="Z79" s="233" t="n"/>
      <c r="AA79" s="233" t="n"/>
      <c r="AB79" s="233" t="n"/>
      <c r="AC79" s="233" t="n"/>
      <c r="AD79" s="233" t="n"/>
      <c r="AE79" s="233" t="n"/>
      <c r="AF79" s="233" t="n"/>
      <c r="AG79" s="233" t="n"/>
      <c r="AH79" s="233" t="n"/>
      <c r="AI79" s="233" t="n"/>
      <c r="AJ79" s="233" t="n"/>
      <c r="AK79" s="233" t="n"/>
      <c r="AL79" s="233" t="n"/>
      <c r="AM79" s="233" t="n"/>
      <c r="AN79" s="233" t="n"/>
      <c r="AO79" s="233" t="n"/>
      <c r="AP79" s="233" t="n"/>
      <c r="AQ79" s="233" t="n"/>
      <c r="AR79" s="233" t="n"/>
    </row>
    <row r="80">
      <c r="A80" s="233" t="n"/>
      <c r="B80" s="233" t="n"/>
      <c r="C80" s="233" t="n"/>
      <c r="D80" s="233" t="n"/>
      <c r="E80" s="233" t="n"/>
      <c r="F80" s="233" t="n"/>
      <c r="G80" s="233" t="n"/>
      <c r="H80" s="233" t="n"/>
      <c r="I80" s="233" t="n"/>
      <c r="J80" s="233" t="n"/>
      <c r="K80" s="233" t="n"/>
      <c r="L80" s="233" t="n"/>
      <c r="M80" s="233" t="n"/>
      <c r="N80" s="233" t="n"/>
      <c r="O80" s="233" t="n"/>
      <c r="P80" s="233" t="n"/>
      <c r="Q80" s="233" t="n"/>
      <c r="R80" s="233" t="n"/>
      <c r="S80" s="233" t="n"/>
      <c r="T80" s="233" t="n"/>
      <c r="U80" s="233" t="n"/>
      <c r="V80" s="233" t="n"/>
      <c r="W80" s="233" t="n"/>
      <c r="X80" s="233" t="n"/>
      <c r="Y80" s="233" t="n"/>
      <c r="Z80" s="233" t="n"/>
      <c r="AA80" s="233" t="n"/>
      <c r="AB80" s="233" t="n"/>
      <c r="AC80" s="233" t="n"/>
      <c r="AD80" s="233" t="n"/>
      <c r="AE80" s="233" t="n"/>
      <c r="AF80" s="233" t="n"/>
      <c r="AG80" s="233" t="n"/>
      <c r="AH80" s="233" t="n"/>
      <c r="AI80" s="233" t="n"/>
      <c r="AJ80" s="233" t="n"/>
      <c r="AK80" s="233" t="n"/>
      <c r="AL80" s="233" t="n"/>
      <c r="AM80" s="233" t="n"/>
      <c r="AN80" s="233" t="n"/>
      <c r="AO80" s="233" t="n"/>
      <c r="AP80" s="233" t="n"/>
      <c r="AQ80" s="233" t="n"/>
      <c r="AR80" s="233" t="n"/>
    </row>
    <row r="81">
      <c r="A81" s="233" t="n"/>
      <c r="B81" s="233" t="n"/>
      <c r="C81" s="233" t="n"/>
      <c r="D81" s="233" t="n"/>
      <c r="E81" s="233" t="n"/>
      <c r="F81" s="233" t="n"/>
      <c r="G81" s="233" t="n"/>
      <c r="H81" s="233" t="n"/>
      <c r="I81" s="233" t="n"/>
      <c r="J81" s="233" t="n"/>
      <c r="K81" s="233" t="n"/>
      <c r="L81" s="233" t="n"/>
      <c r="M81" s="233" t="n"/>
      <c r="N81" s="233" t="n"/>
      <c r="O81" s="233" t="n"/>
      <c r="P81" s="233" t="n"/>
      <c r="Q81" s="233" t="n"/>
      <c r="R81" s="233" t="n"/>
      <c r="S81" s="233" t="n"/>
      <c r="T81" s="233" t="n"/>
      <c r="U81" s="233" t="n"/>
      <c r="V81" s="233" t="n"/>
      <c r="W81" s="233" t="n"/>
      <c r="X81" s="233" t="n"/>
      <c r="Y81" s="233" t="n"/>
      <c r="Z81" s="233" t="n"/>
      <c r="AA81" s="233" t="n"/>
      <c r="AB81" s="233" t="n"/>
      <c r="AC81" s="233" t="n"/>
      <c r="AD81" s="233" t="n"/>
      <c r="AE81" s="233" t="n"/>
      <c r="AF81" s="233" t="n"/>
      <c r="AG81" s="233" t="n"/>
      <c r="AH81" s="233" t="n"/>
      <c r="AI81" s="233" t="n"/>
      <c r="AJ81" s="233" t="n"/>
      <c r="AK81" s="233" t="n"/>
      <c r="AL81" s="233" t="n"/>
      <c r="AM81" s="233" t="n"/>
      <c r="AN81" s="233" t="n"/>
      <c r="AO81" s="233" t="n"/>
      <c r="AP81" s="233" t="n"/>
      <c r="AQ81" s="233" t="n"/>
      <c r="AR81" s="233" t="n"/>
    </row>
    <row r="82">
      <c r="A82" s="233" t="n"/>
      <c r="B82" s="233" t="n"/>
      <c r="C82" s="233" t="n"/>
      <c r="D82" s="233" t="n"/>
      <c r="E82" s="233" t="n"/>
      <c r="F82" s="233" t="n"/>
      <c r="G82" s="233" t="n"/>
      <c r="H82" s="233" t="n"/>
      <c r="I82" s="233" t="n"/>
      <c r="J82" s="233" t="n"/>
      <c r="K82" s="233" t="n"/>
      <c r="L82" s="233" t="n"/>
      <c r="M82" s="233" t="n"/>
      <c r="N82" s="233" t="n"/>
      <c r="O82" s="233" t="n"/>
      <c r="P82" s="233" t="n"/>
      <c r="Q82" s="233" t="n"/>
      <c r="R82" s="233" t="n"/>
      <c r="S82" s="233" t="n"/>
      <c r="T82" s="233" t="n"/>
      <c r="U82" s="233" t="n"/>
      <c r="V82" s="233" t="n"/>
      <c r="W82" s="233" t="n"/>
      <c r="X82" s="233" t="n"/>
      <c r="Y82" s="233" t="n"/>
      <c r="Z82" s="233" t="n"/>
      <c r="AA82" s="233" t="n"/>
      <c r="AB82" s="233" t="n"/>
      <c r="AC82" s="233" t="n"/>
      <c r="AD82" s="233" t="n"/>
      <c r="AE82" s="233" t="n"/>
      <c r="AF82" s="233" t="n"/>
      <c r="AG82" s="233" t="n"/>
      <c r="AH82" s="233" t="n"/>
      <c r="AI82" s="233" t="n"/>
      <c r="AJ82" s="233" t="n"/>
      <c r="AK82" s="233" t="n"/>
      <c r="AL82" s="233" t="n"/>
      <c r="AM82" s="233" t="n"/>
      <c r="AN82" s="233" t="n"/>
      <c r="AO82" s="233" t="n"/>
      <c r="AP82" s="233" t="n"/>
      <c r="AQ82" s="233" t="n"/>
      <c r="AR82" s="233" t="n"/>
    </row>
    <row r="83">
      <c r="A83" s="233" t="n"/>
      <c r="B83" s="233" t="n"/>
      <c r="C83" s="233" t="n"/>
      <c r="D83" s="233" t="n"/>
      <c r="E83" s="233" t="n"/>
      <c r="F83" s="233" t="n"/>
      <c r="G83" s="233" t="n"/>
      <c r="H83" s="233" t="n"/>
      <c r="I83" s="233" t="n"/>
      <c r="J83" s="233" t="n"/>
      <c r="K83" s="233" t="n"/>
      <c r="L83" s="233" t="n"/>
      <c r="M83" s="233" t="n"/>
      <c r="N83" s="233" t="n"/>
      <c r="O83" s="233" t="n"/>
      <c r="P83" s="233" t="n"/>
      <c r="Q83" s="233" t="n"/>
      <c r="R83" s="233" t="n"/>
      <c r="S83" s="233" t="n"/>
      <c r="T83" s="233" t="n"/>
      <c r="U83" s="233" t="n"/>
      <c r="V83" s="233" t="n"/>
      <c r="W83" s="233" t="n"/>
      <c r="X83" s="233" t="n"/>
      <c r="Y83" s="233" t="n"/>
      <c r="Z83" s="233" t="n"/>
      <c r="AA83" s="233" t="n"/>
      <c r="AB83" s="233" t="n"/>
      <c r="AC83" s="233" t="n"/>
      <c r="AD83" s="233" t="n"/>
      <c r="AE83" s="233" t="n"/>
      <c r="AF83" s="233" t="n"/>
      <c r="AG83" s="233" t="n"/>
      <c r="AH83" s="233" t="n"/>
      <c r="AI83" s="233" t="n"/>
      <c r="AJ83" s="233" t="n"/>
      <c r="AK83" s="233" t="n"/>
      <c r="AL83" s="233" t="n"/>
      <c r="AM83" s="233" t="n"/>
      <c r="AN83" s="233" t="n"/>
      <c r="AO83" s="233" t="n"/>
      <c r="AP83" s="233" t="n"/>
      <c r="AQ83" s="233" t="n"/>
      <c r="AR83" s="233" t="n"/>
    </row>
    <row r="84">
      <c r="A84" s="233" t="n"/>
      <c r="B84" s="233" t="n"/>
      <c r="C84" s="233" t="n"/>
      <c r="D84" s="233" t="n"/>
      <c r="E84" s="233" t="n"/>
      <c r="F84" s="233" t="n"/>
      <c r="G84" s="233" t="n"/>
      <c r="H84" s="233" t="n"/>
      <c r="I84" s="233" t="n"/>
      <c r="J84" s="233" t="n"/>
      <c r="K84" s="233" t="n"/>
      <c r="L84" s="233" t="n"/>
      <c r="M84" s="233" t="n"/>
      <c r="N84" s="233" t="n"/>
      <c r="O84" s="233" t="n"/>
      <c r="P84" s="233" t="n"/>
      <c r="Q84" s="233" t="n"/>
      <c r="R84" s="233" t="n"/>
      <c r="S84" s="233" t="n"/>
      <c r="T84" s="233" t="n"/>
      <c r="U84" s="233" t="n"/>
      <c r="V84" s="233" t="n"/>
      <c r="W84" s="233" t="n"/>
      <c r="X84" s="233" t="n"/>
      <c r="Y84" s="233" t="n"/>
      <c r="Z84" s="233" t="n"/>
      <c r="AA84" s="233" t="n"/>
      <c r="AB84" s="233" t="n"/>
      <c r="AC84" s="233" t="n"/>
      <c r="AD84" s="233" t="n"/>
      <c r="AE84" s="233" t="n"/>
      <c r="AF84" s="233" t="n"/>
      <c r="AG84" s="233" t="n"/>
      <c r="AH84" s="233" t="n"/>
      <c r="AI84" s="233" t="n"/>
      <c r="AJ84" s="233" t="n"/>
      <c r="AK84" s="233" t="n"/>
      <c r="AL84" s="233" t="n"/>
      <c r="AM84" s="233" t="n"/>
      <c r="AN84" s="233" t="n"/>
      <c r="AO84" s="233" t="n"/>
      <c r="AP84" s="233" t="n"/>
      <c r="AQ84" s="233" t="n"/>
      <c r="AR84" s="233" t="n"/>
    </row>
    <row r="85">
      <c r="A85" s="233" t="n"/>
      <c r="B85" s="233" t="n"/>
      <c r="C85" s="233" t="n"/>
      <c r="D85" s="233" t="n"/>
      <c r="E85" s="233" t="n"/>
      <c r="F85" s="233" t="n"/>
      <c r="G85" s="233" t="n"/>
      <c r="H85" s="233" t="n"/>
      <c r="I85" s="233" t="n"/>
      <c r="J85" s="233" t="n"/>
      <c r="K85" s="233" t="n"/>
      <c r="L85" s="233" t="n"/>
      <c r="M85" s="233" t="n"/>
      <c r="N85" s="233" t="n"/>
      <c r="O85" s="233" t="n"/>
      <c r="P85" s="233" t="n"/>
      <c r="Q85" s="233" t="n"/>
      <c r="R85" s="233" t="n"/>
      <c r="S85" s="233" t="n"/>
      <c r="T85" s="233" t="n"/>
      <c r="U85" s="233" t="n"/>
      <c r="V85" s="233" t="n"/>
      <c r="W85" s="233" t="n"/>
      <c r="X85" s="233" t="n"/>
      <c r="Y85" s="233" t="n"/>
      <c r="Z85" s="233" t="n"/>
      <c r="AA85" s="233" t="n"/>
      <c r="AB85" s="233" t="n"/>
      <c r="AC85" s="233" t="n"/>
      <c r="AD85" s="233" t="n"/>
      <c r="AE85" s="233" t="n"/>
      <c r="AF85" s="233" t="n"/>
      <c r="AG85" s="233" t="n"/>
      <c r="AH85" s="233" t="n"/>
      <c r="AI85" s="233" t="n"/>
      <c r="AJ85" s="233" t="n"/>
      <c r="AK85" s="233" t="n"/>
      <c r="AL85" s="233" t="n"/>
      <c r="AM85" s="233" t="n"/>
      <c r="AN85" s="233" t="n"/>
      <c r="AO85" s="233" t="n"/>
      <c r="AP85" s="233" t="n"/>
      <c r="AQ85" s="233" t="n"/>
      <c r="AR85" s="233" t="n"/>
    </row>
    <row r="86">
      <c r="A86" s="233" t="n"/>
      <c r="B86" s="233" t="n"/>
      <c r="C86" s="233" t="n"/>
      <c r="D86" s="233" t="n"/>
      <c r="E86" s="233" t="n"/>
      <c r="F86" s="233" t="n"/>
      <c r="G86" s="233" t="n"/>
      <c r="H86" s="233" t="n"/>
      <c r="I86" s="233" t="n"/>
      <c r="J86" s="233" t="n"/>
      <c r="K86" s="233" t="n"/>
      <c r="L86" s="233" t="n"/>
      <c r="M86" s="233" t="n"/>
      <c r="N86" s="233" t="n"/>
      <c r="O86" s="233" t="n"/>
      <c r="P86" s="233" t="n"/>
      <c r="Q86" s="233" t="n"/>
      <c r="R86" s="233" t="n"/>
      <c r="S86" s="233" t="n"/>
      <c r="T86" s="233" t="n"/>
      <c r="U86" s="233" t="n"/>
      <c r="V86" s="233" t="n"/>
      <c r="W86" s="233" t="n"/>
      <c r="X86" s="233" t="n"/>
      <c r="Y86" s="233" t="n"/>
      <c r="Z86" s="233" t="n"/>
      <c r="AA86" s="233" t="n"/>
      <c r="AB86" s="233" t="n"/>
      <c r="AC86" s="233" t="n"/>
      <c r="AD86" s="233" t="n"/>
      <c r="AE86" s="233" t="n"/>
      <c r="AF86" s="233" t="n"/>
      <c r="AG86" s="233" t="n"/>
      <c r="AH86" s="233" t="n"/>
      <c r="AI86" s="233" t="n"/>
      <c r="AJ86" s="233" t="n"/>
      <c r="AK86" s="233" t="n"/>
      <c r="AL86" s="233" t="n"/>
      <c r="AM86" s="233" t="n"/>
      <c r="AN86" s="233" t="n"/>
      <c r="AO86" s="233" t="n"/>
      <c r="AP86" s="233" t="n"/>
      <c r="AQ86" s="233" t="n"/>
      <c r="AR86" s="233" t="n"/>
    </row>
    <row r="87">
      <c r="A87" s="233" t="n"/>
      <c r="B87" s="233" t="n"/>
      <c r="C87" s="233" t="n"/>
      <c r="D87" s="233" t="n"/>
      <c r="E87" s="233" t="n"/>
      <c r="F87" s="233" t="n"/>
      <c r="G87" s="233" t="n"/>
      <c r="H87" s="233" t="n"/>
      <c r="I87" s="233" t="n"/>
      <c r="J87" s="233" t="n"/>
      <c r="K87" s="233" t="n"/>
      <c r="L87" s="233" t="n"/>
      <c r="M87" s="233" t="n"/>
      <c r="N87" s="233" t="n"/>
      <c r="O87" s="233" t="n"/>
      <c r="P87" s="233" t="n"/>
      <c r="Q87" s="233" t="n"/>
      <c r="R87" s="233" t="n"/>
      <c r="S87" s="233" t="n"/>
      <c r="T87" s="233" t="n"/>
      <c r="U87" s="233" t="n"/>
      <c r="V87" s="233" t="n"/>
      <c r="W87" s="233" t="n"/>
      <c r="X87" s="233" t="n"/>
      <c r="Y87" s="233" t="n"/>
      <c r="Z87" s="233" t="n"/>
      <c r="AA87" s="233" t="n"/>
      <c r="AB87" s="233" t="n"/>
      <c r="AC87" s="233" t="n"/>
      <c r="AD87" s="233" t="n"/>
      <c r="AE87" s="233" t="n"/>
      <c r="AF87" s="233" t="n"/>
      <c r="AG87" s="233" t="n"/>
      <c r="AH87" s="233" t="n"/>
      <c r="AI87" s="233" t="n"/>
      <c r="AJ87" s="233" t="n"/>
      <c r="AK87" s="233" t="n"/>
      <c r="AL87" s="233" t="n"/>
      <c r="AM87" s="233" t="n"/>
      <c r="AN87" s="233" t="n"/>
      <c r="AO87" s="233" t="n"/>
      <c r="AP87" s="233" t="n"/>
      <c r="AQ87" s="233" t="n"/>
      <c r="AR87" s="233" t="n"/>
    </row>
    <row r="88">
      <c r="A88" s="233" t="n"/>
      <c r="B88" s="233" t="n"/>
      <c r="C88" s="233" t="n"/>
      <c r="D88" s="233" t="n"/>
      <c r="E88" s="233" t="n"/>
      <c r="F88" s="233" t="n"/>
      <c r="G88" s="233" t="n"/>
      <c r="H88" s="233" t="n"/>
      <c r="I88" s="233" t="n"/>
      <c r="J88" s="233" t="n"/>
      <c r="K88" s="233" t="n"/>
      <c r="L88" s="233" t="n"/>
      <c r="M88" s="233" t="n"/>
      <c r="N88" s="233" t="n"/>
      <c r="O88" s="233" t="n"/>
      <c r="P88" s="233" t="n"/>
      <c r="Q88" s="233" t="n"/>
      <c r="R88" s="233" t="n"/>
      <c r="S88" s="233" t="n"/>
      <c r="T88" s="233" t="n"/>
      <c r="U88" s="233" t="n"/>
      <c r="V88" s="233" t="n"/>
      <c r="W88" s="233" t="n"/>
      <c r="X88" s="233" t="n"/>
      <c r="Y88" s="233" t="n"/>
      <c r="Z88" s="233" t="n"/>
      <c r="AA88" s="233" t="n"/>
      <c r="AB88" s="233" t="n"/>
      <c r="AC88" s="233" t="n"/>
      <c r="AD88" s="233" t="n"/>
      <c r="AE88" s="233" t="n"/>
      <c r="AF88" s="233" t="n"/>
      <c r="AG88" s="233" t="n"/>
      <c r="AH88" s="233" t="n"/>
      <c r="AI88" s="233" t="n"/>
      <c r="AJ88" s="233" t="n"/>
      <c r="AK88" s="233" t="n"/>
      <c r="AL88" s="233" t="n"/>
      <c r="AM88" s="233" t="n"/>
      <c r="AN88" s="233" t="n"/>
      <c r="AO88" s="233" t="n"/>
      <c r="AP88" s="233" t="n"/>
      <c r="AQ88" s="233" t="n"/>
      <c r="AR88" s="233" t="n"/>
    </row>
    <row r="89">
      <c r="A89" s="233" t="n"/>
      <c r="B89" s="233" t="n"/>
      <c r="C89" s="233" t="n"/>
      <c r="D89" s="233" t="n"/>
      <c r="E89" s="233" t="n"/>
      <c r="F89" s="233" t="n"/>
      <c r="G89" s="233" t="n"/>
      <c r="H89" s="233" t="n"/>
      <c r="I89" s="233" t="n"/>
      <c r="J89" s="233" t="n"/>
      <c r="K89" s="233" t="n"/>
      <c r="L89" s="233" t="n"/>
      <c r="M89" s="233" t="n"/>
      <c r="N89" s="233" t="n"/>
      <c r="O89" s="233" t="n"/>
      <c r="P89" s="233" t="n"/>
      <c r="Q89" s="233" t="n"/>
      <c r="R89" s="233" t="n"/>
      <c r="S89" s="233" t="n"/>
      <c r="T89" s="233" t="n"/>
      <c r="U89" s="233" t="n"/>
      <c r="V89" s="233" t="n"/>
      <c r="W89" s="233" t="n"/>
      <c r="X89" s="233" t="n"/>
      <c r="Y89" s="233" t="n"/>
      <c r="Z89" s="233" t="n"/>
      <c r="AA89" s="233" t="n"/>
      <c r="AB89" s="233" t="n"/>
      <c r="AC89" s="233" t="n"/>
      <c r="AD89" s="233" t="n"/>
      <c r="AE89" s="233" t="n"/>
      <c r="AF89" s="233" t="n"/>
      <c r="AG89" s="233" t="n"/>
      <c r="AH89" s="233" t="n"/>
      <c r="AI89" s="233" t="n"/>
      <c r="AJ89" s="233" t="n"/>
      <c r="AK89" s="233" t="n"/>
      <c r="AL89" s="233" t="n"/>
      <c r="AM89" s="233" t="n"/>
      <c r="AN89" s="233" t="n"/>
      <c r="AO89" s="233" t="n"/>
      <c r="AP89" s="233" t="n"/>
      <c r="AQ89" s="233" t="n"/>
      <c r="AR89" s="233" t="n"/>
    </row>
    <row r="90">
      <c r="A90" s="233" t="n"/>
      <c r="B90" s="233" t="n"/>
      <c r="C90" s="233" t="n"/>
      <c r="D90" s="233" t="n"/>
      <c r="E90" s="233" t="n"/>
      <c r="F90" s="233" t="n"/>
      <c r="G90" s="233" t="n"/>
      <c r="H90" s="233" t="n"/>
      <c r="I90" s="233" t="n"/>
      <c r="J90" s="233" t="n"/>
      <c r="K90" s="233" t="n"/>
      <c r="L90" s="233" t="n"/>
      <c r="M90" s="233" t="n"/>
      <c r="N90" s="233" t="n"/>
      <c r="O90" s="233" t="n"/>
      <c r="P90" s="233" t="n"/>
      <c r="Q90" s="233" t="n"/>
      <c r="R90" s="233" t="n"/>
      <c r="S90" s="233" t="n"/>
      <c r="T90" s="233" t="n"/>
      <c r="U90" s="233" t="n"/>
      <c r="V90" s="233" t="n"/>
      <c r="W90" s="233" t="n"/>
      <c r="X90" s="233" t="n"/>
      <c r="Y90" s="233" t="n"/>
      <c r="Z90" s="233" t="n"/>
      <c r="AA90" s="233" t="n"/>
      <c r="AB90" s="233" t="n"/>
      <c r="AC90" s="233" t="n"/>
      <c r="AD90" s="233" t="n"/>
      <c r="AE90" s="233" t="n"/>
      <c r="AF90" s="233" t="n"/>
      <c r="AG90" s="233" t="n"/>
      <c r="AH90" s="233" t="n"/>
      <c r="AI90" s="233" t="n"/>
      <c r="AJ90" s="233" t="n"/>
      <c r="AK90" s="233" t="n"/>
      <c r="AL90" s="233" t="n"/>
      <c r="AM90" s="233" t="n"/>
      <c r="AN90" s="233" t="n"/>
      <c r="AO90" s="233" t="n"/>
      <c r="AP90" s="233" t="n"/>
      <c r="AQ90" s="233" t="n"/>
      <c r="AR90" s="233" t="n"/>
    </row>
  </sheetData>
  <mergeCells count="2">
    <mergeCell ref="A2:N2"/>
    <mergeCell ref="A1:N1"/>
  </mergeCells>
  <conditionalFormatting sqref="N4:N51">
    <cfRule type="expression" priority="1" dxfId="0">
      <formula>$N4="Qualified"</formula>
    </cfRule>
    <cfRule type="expression" priority="2" dxfId="1">
      <formula>ISNUMBER(SEARCH("best",$N4))</formula>
    </cfRule>
  </conditionalFormatting>
  <pageMargins left="0.7" right="0.7" top="0.75" bottom="0.75" header="0.3" footer="0.3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8" customWidth="1" style="28" min="2" max="2"/>
    <col width="15" customWidth="1" style="28" min="3" max="3"/>
    <col width="24" customWidth="1" style="28" min="4" max="4"/>
    <col width="24" customWidth="1" style="28" min="5" max="5"/>
    <col width="24" customWidth="1" style="28" min="7" max="7"/>
    <col width="24" customWidth="1" style="28" min="8" max="8"/>
    <col width="16" customWidth="1" style="28" min="9" max="9"/>
    <col width="22" customWidth="1" style="28" min="11" max="11"/>
    <col width="24" customWidth="1" style="28" min="12" max="12"/>
    <col width="12" customWidth="1" style="28" min="15" max="15"/>
    <col width="12" customWidth="1" style="28" min="16" max="16"/>
    <col width="12" customWidth="1" style="28" min="17" max="17"/>
    <col width="12" customWidth="1" style="28" min="18" max="18"/>
    <col width="12" customWidth="1" style="28" min="19" max="19"/>
    <col width="12" customWidth="1" style="28" min="20" max="20"/>
    <col width="12" customWidth="1" style="28" min="21" max="21"/>
    <col width="12" customWidth="1" style="28" min="22" max="22"/>
  </cols>
  <sheetData>
    <row r="1" ht="18" customHeight="1" s="28">
      <c r="A1" s="400" t="inlineStr">
        <is>
          <t>Setup - official teams, R32 seeding and Annex C third-place logic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233" t="n"/>
      <c r="X1" s="233" t="n"/>
      <c r="Y1" s="233" t="n"/>
      <c r="Z1" s="233" t="n"/>
      <c r="AA1" s="233" t="n"/>
      <c r="AB1" s="233" t="n"/>
      <c r="AC1" s="233" t="n"/>
      <c r="AD1" s="233" t="n"/>
      <c r="AE1" s="233" t="n"/>
      <c r="AF1" s="233" t="n"/>
      <c r="AG1" s="233" t="n"/>
      <c r="AH1" s="233" t="n"/>
      <c r="AI1" s="233" t="n"/>
      <c r="AJ1" s="233" t="n"/>
      <c r="AK1" s="233" t="n"/>
      <c r="AL1" s="233" t="n"/>
      <c r="AM1" s="233" t="n"/>
      <c r="AN1" s="233" t="n"/>
      <c r="AO1" s="233" t="n"/>
      <c r="AP1" s="233" t="n"/>
      <c r="AQ1" s="233" t="n"/>
      <c r="AR1" s="233" t="n"/>
    </row>
    <row r="2" ht="18" customHeight="1" s="28">
      <c r="A2" s="264" t="inlineStr">
        <is>
          <t>All Teams</t>
        </is>
      </c>
      <c r="B2" s="401" t="inlineStr">
        <is>
          <t>Flag Image</t>
        </is>
      </c>
      <c r="C2" s="264" t="inlineStr">
        <is>
          <t>Official Match</t>
        </is>
      </c>
      <c r="D2" s="264" t="inlineStr">
        <is>
          <t>Team 1</t>
        </is>
      </c>
      <c r="E2" s="264" t="inlineStr">
        <is>
          <t>Team 2</t>
        </is>
      </c>
      <c r="G2" s="264" t="inlineStr">
        <is>
          <t>Winner Dropdown Helper</t>
        </is>
      </c>
      <c r="H2" s="264" t="inlineStr">
        <is>
          <t>Option</t>
        </is>
      </c>
      <c r="I2" s="264" t="inlineStr">
        <is>
          <t>Internal Match</t>
        </is>
      </c>
      <c r="K2" s="264" t="inlineStr">
        <is>
          <t>Winner Output Helper</t>
        </is>
      </c>
      <c r="L2" s="264" t="inlineStr">
        <is>
          <t>Winner</t>
        </is>
      </c>
      <c r="O2" s="402" t="inlineStr">
        <is>
          <t>Projected eight best third-place groups and Annex C assignments</t>
        </is>
      </c>
      <c r="P2" s="1" t="n"/>
      <c r="Q2" s="1" t="n"/>
      <c r="R2" s="1" t="n"/>
      <c r="S2" s="1" t="n"/>
      <c r="T2" s="1" t="n"/>
      <c r="U2" s="1" t="n"/>
      <c r="V2" s="1" t="n"/>
      <c r="W2" s="233" t="n"/>
      <c r="X2" s="233" t="n"/>
      <c r="Y2" s="233" t="n"/>
      <c r="Z2" s="233" t="n"/>
      <c r="AA2" s="233" t="n"/>
      <c r="AB2" s="233" t="n"/>
      <c r="AC2" s="233" t="n"/>
      <c r="AD2" s="233" t="n"/>
      <c r="AE2" s="233" t="n"/>
      <c r="AF2" s="233" t="n"/>
      <c r="AG2" s="233" t="n"/>
      <c r="AH2" s="233" t="n"/>
      <c r="AI2" s="233" t="n"/>
      <c r="AJ2" s="233" t="n"/>
      <c r="AK2" s="233" t="n"/>
      <c r="AL2" s="233" t="n"/>
      <c r="AM2" s="233" t="n"/>
      <c r="AN2" s="233" t="n"/>
      <c r="AO2" s="233" t="n"/>
      <c r="AP2" s="233" t="n"/>
      <c r="AQ2" s="233" t="n"/>
      <c r="AR2" s="233" t="n"/>
    </row>
    <row r="3" ht="20" customHeight="1" s="28">
      <c r="A3" t="inlineStr">
        <is>
          <t>Mexico</t>
        </is>
      </c>
      <c r="B3" s="283" t="inlineStr"/>
      <c r="C3" s="29" t="inlineStr">
        <is>
          <t>M74</t>
        </is>
      </c>
      <c r="D3" s="274">
        <f>IFERROR(INDEX('Group Stage'!$C$4:$C$51,SUMPRODUCT(('Group Stage'!$A$4:$A$51="E")*('Group Stage'!$L$4:$L$51=1)*(ROW('Group Stage'!$C$4:$C$51)-ROW('Group Stage'!$C$4)+1))),"E1 TBD")</f>
        <v/>
      </c>
      <c r="E3" s="274">
        <f>IFERROR(INDEX('Group Stage'!$C$4:$C$51,SUMPRODUCT(('Group Stage'!$A$4:$A$51=RIGHT($R$6,1))*('Group Stage'!$L$4:$L$51=3)*(ROW('Group Stage'!$C$4:$C$51)-ROW('Group Stage'!$C$4)+1))),"3P A/B/C/D/F TBD")</f>
        <v/>
      </c>
      <c r="G3" t="inlineStr">
        <is>
          <t>R32-01</t>
        </is>
      </c>
      <c r="H3">
        <f>'Tournament Map'!A7</f>
        <v/>
      </c>
      <c r="I3" t="inlineStr">
        <is>
          <t>R32-01</t>
        </is>
      </c>
      <c r="K3" t="inlineStr">
        <is>
          <t>R32-01</t>
        </is>
      </c>
      <c r="L3">
        <f>'Tournament Map'!B9</f>
        <v/>
      </c>
      <c r="O3" s="272">
        <f>IF(COUNTIFS('Group Stage'!$A$4:$A$51,"A",'Group Stage'!$L$4:$L$51,3,'Group Stage'!$M$4:$M$51,"&lt;=8")&gt;0,"A","")&amp;IF(COUNTIFS('Group Stage'!$A$4:$A$51,"B",'Group Stage'!$L$4:$L$51,3,'Group Stage'!$M$4:$M$51,"&lt;=8")&gt;0,"B","")&amp;IF(COUNTIFS('Group Stage'!$A$4:$A$51,"C",'Group Stage'!$L$4:$L$51,3,'Group Stage'!$M$4:$M$51,"&lt;=8")&gt;0,"C","")&amp;IF(COUNTIFS('Group Stage'!$A$4:$A$51,"D",'Group Stage'!$L$4:$L$51,3,'Group Stage'!$M$4:$M$51,"&lt;=8")&gt;0,"D","")&amp;IF(COUNTIFS('Group Stage'!$A$4:$A$51,"E",'Group Stage'!$L$4:$L$51,3,'Group Stage'!$M$4:$M$51,"&lt;=8")&gt;0,"E","")&amp;IF(COUNTIFS('Group Stage'!$A$4:$A$51,"F",'Group Stage'!$L$4:$L$51,3,'Group Stage'!$M$4:$M$51,"&lt;=8")&gt;0,"F","")&amp;IF(COUNTIFS('Group Stage'!$A$4:$A$51,"G",'Group Stage'!$L$4:$L$51,3,'Group Stage'!$M$4:$M$51,"&lt;=8")&gt;0,"G","")&amp;IF(COUNTIFS('Group Stage'!$A$4:$A$51,"H",'Group Stage'!$L$4:$L$51,3,'Group Stage'!$M$4:$M$51,"&lt;=8")&gt;0,"H","")&amp;IF(COUNTIFS('Group Stage'!$A$4:$A$51,"I",'Group Stage'!$L$4:$L$51,3,'Group Stage'!$M$4:$M$51,"&lt;=8")&gt;0,"I","")&amp;IF(COUNTIFS('Group Stage'!$A$4:$A$51,"J",'Group Stage'!$L$4:$L$51,3,'Group Stage'!$M$4:$M$51,"&lt;=8")&gt;0,"J","")&amp;IF(COUNTIFS('Group Stage'!$A$4:$A$51,"K",'Group Stage'!$L$4:$L$51,3,'Group Stage'!$M$4:$M$51,"&lt;=8")&gt;0,"K","")&amp;IF(COUNTIFS('Group Stage'!$A$4:$A$51,"L",'Group Stage'!$L$4:$L$51,3,'Group Stage'!$M$4:$M$51,"&lt;=8")&gt;0,"L","")</f>
        <v/>
      </c>
      <c r="P3" s="272" t="n"/>
      <c r="Q3" s="272" t="n"/>
      <c r="R3" s="272" t="n"/>
      <c r="S3" s="272" t="n"/>
      <c r="T3" s="272" t="n"/>
      <c r="U3" s="272" t="n"/>
      <c r="V3" s="272" t="n"/>
      <c r="W3" s="233" t="n"/>
      <c r="X3" s="233" t="n"/>
      <c r="Y3" s="233" t="n"/>
      <c r="Z3" s="233" t="n"/>
      <c r="AA3" s="233" t="n"/>
      <c r="AB3" s="233" t="n"/>
      <c r="AC3" s="233" t="n"/>
      <c r="AD3" s="233" t="n"/>
      <c r="AE3" s="233" t="n"/>
      <c r="AF3" s="233" t="n"/>
      <c r="AG3" s="233" t="n"/>
      <c r="AH3" s="233" t="n"/>
      <c r="AI3" s="233" t="n"/>
      <c r="AJ3" s="233" t="n"/>
      <c r="AK3" s="233" t="n"/>
      <c r="AL3" s="233" t="n"/>
      <c r="AM3" s="233" t="n"/>
      <c r="AN3" s="233" t="n"/>
      <c r="AO3" s="233" t="n"/>
      <c r="AP3" s="233" t="n"/>
      <c r="AQ3" s="233" t="n"/>
      <c r="AR3" s="233" t="n"/>
    </row>
    <row r="4" ht="20" customHeight="1" s="28">
      <c r="A4" t="inlineStr">
        <is>
          <t>South Africa</t>
        </is>
      </c>
      <c r="B4" s="283" t="inlineStr"/>
      <c r="C4" s="29" t="inlineStr">
        <is>
          <t>M77</t>
        </is>
      </c>
      <c r="D4" s="274">
        <f>IFERROR(INDEX('Group Stage'!$C$4:$C$51,SUMPRODUCT(('Group Stage'!$A$4:$A$51="I")*('Group Stage'!$L$4:$L$51=1)*(ROW('Group Stage'!$C$4:$C$51)-ROW('Group Stage'!$C$4)+1))),"I1 TBD")</f>
        <v/>
      </c>
      <c r="E4" s="274">
        <f>IFERROR(INDEX('Group Stage'!$C$4:$C$51,SUMPRODUCT(('Group Stage'!$A$4:$A$51=RIGHT($T$6,1))*('Group Stage'!$L$4:$L$51=3)*(ROW('Group Stage'!$C$4:$C$51)-ROW('Group Stage'!$C$4)+1))),"3P C/D/F/G/H TBD")</f>
        <v/>
      </c>
      <c r="H4">
        <f>'Tournament Map'!A8</f>
        <v/>
      </c>
      <c r="I4" t="inlineStr">
        <is>
          <t>R32-01</t>
        </is>
      </c>
      <c r="K4" t="inlineStr">
        <is>
          <t>R32-02</t>
        </is>
      </c>
      <c r="L4">
        <f>'Tournament Map'!B15</f>
        <v/>
      </c>
      <c r="O4" s="272" t="inlineStr">
        <is>
          <t>1A</t>
        </is>
      </c>
      <c r="P4" s="272" t="inlineStr">
        <is>
          <t>1B</t>
        </is>
      </c>
      <c r="Q4" s="272" t="inlineStr">
        <is>
          <t>1D</t>
        </is>
      </c>
      <c r="R4" s="272" t="inlineStr">
        <is>
          <t>1E</t>
        </is>
      </c>
      <c r="S4" s="272" t="inlineStr">
        <is>
          <t>1G</t>
        </is>
      </c>
      <c r="T4" s="272" t="inlineStr">
        <is>
          <t>1I</t>
        </is>
      </c>
      <c r="U4" s="272" t="inlineStr">
        <is>
          <t>1K</t>
        </is>
      </c>
      <c r="V4" s="272" t="inlineStr">
        <is>
          <t>1L</t>
        </is>
      </c>
      <c r="W4" s="233" t="n"/>
      <c r="X4" s="233" t="n"/>
      <c r="Y4" s="233" t="n"/>
      <c r="Z4" s="233" t="n"/>
      <c r="AA4" s="233" t="n"/>
      <c r="AB4" s="233" t="n"/>
      <c r="AC4" s="233" t="n"/>
      <c r="AD4" s="233" t="n"/>
      <c r="AE4" s="233" t="n"/>
      <c r="AF4" s="233" t="n"/>
      <c r="AG4" s="233" t="n"/>
      <c r="AH4" s="233" t="n"/>
      <c r="AI4" s="233" t="n"/>
      <c r="AJ4" s="233" t="n"/>
      <c r="AK4" s="233" t="n"/>
      <c r="AL4" s="233" t="n"/>
      <c r="AM4" s="233" t="n"/>
      <c r="AN4" s="233" t="n"/>
      <c r="AO4" s="233" t="n"/>
      <c r="AP4" s="233" t="n"/>
      <c r="AQ4" s="233" t="n"/>
      <c r="AR4" s="233" t="n"/>
    </row>
    <row r="5" ht="20" customHeight="1" s="28">
      <c r="A5" t="inlineStr">
        <is>
          <t>Korea Republic</t>
        </is>
      </c>
      <c r="B5" s="283" t="inlineStr"/>
      <c r="C5" s="29" t="inlineStr">
        <is>
          <t>M73</t>
        </is>
      </c>
      <c r="D5" s="274">
        <f>IFERROR(INDEX('Group Stage'!$C$4:$C$51,SUMPRODUCT(('Group Stage'!$A$4:$A$51="A")*('Group Stage'!$L$4:$L$51=2)*(ROW('Group Stage'!$C$4:$C$51)-ROW('Group Stage'!$C$4)+1))),"A2 TBD")</f>
        <v/>
      </c>
      <c r="E5" s="274">
        <f>IFERROR(INDEX('Group Stage'!$C$4:$C$51,SUMPRODUCT(('Group Stage'!$A$4:$A$51="B")*('Group Stage'!$L$4:$L$51=2)*(ROW('Group Stage'!$C$4:$C$51)-ROW('Group Stage'!$C$4)+1))),"B2 TBD")</f>
        <v/>
      </c>
      <c r="G5" t="inlineStr">
        <is>
          <t>R32-02</t>
        </is>
      </c>
      <c r="H5">
        <f>'Tournament Map'!A13</f>
        <v/>
      </c>
      <c r="I5" t="inlineStr">
        <is>
          <t>R32-02</t>
        </is>
      </c>
      <c r="K5" t="inlineStr">
        <is>
          <t>R32-03</t>
        </is>
      </c>
      <c r="L5">
        <f>'Tournament Map'!B21</f>
        <v/>
      </c>
      <c r="O5" s="272" t="inlineStr">
        <is>
          <t>Assigned 3rd</t>
        </is>
      </c>
      <c r="P5" s="272" t="inlineStr">
        <is>
          <t>Assigned 3rd</t>
        </is>
      </c>
      <c r="Q5" s="272" t="inlineStr">
        <is>
          <t>Assigned 3rd</t>
        </is>
      </c>
      <c r="R5" s="272" t="inlineStr">
        <is>
          <t>Assigned 3rd</t>
        </is>
      </c>
      <c r="S5" s="272" t="inlineStr">
        <is>
          <t>Assigned 3rd</t>
        </is>
      </c>
      <c r="T5" s="272" t="inlineStr">
        <is>
          <t>Assigned 3rd</t>
        </is>
      </c>
      <c r="U5" s="272" t="inlineStr">
        <is>
          <t>Assigned 3rd</t>
        </is>
      </c>
      <c r="V5" s="272" t="inlineStr">
        <is>
          <t>Assigned 3rd</t>
        </is>
      </c>
      <c r="W5" s="233" t="n"/>
      <c r="X5" s="233" t="n"/>
      <c r="Y5" s="233" t="n"/>
      <c r="Z5" s="233" t="n"/>
      <c r="AA5" s="233" t="n"/>
      <c r="AB5" s="233" t="n"/>
      <c r="AC5" s="233" t="n"/>
      <c r="AD5" s="233" t="n"/>
      <c r="AE5" s="233" t="n"/>
      <c r="AF5" s="233" t="n"/>
      <c r="AG5" s="233" t="n"/>
      <c r="AH5" s="233" t="n"/>
      <c r="AI5" s="233" t="n"/>
      <c r="AJ5" s="233" t="n"/>
      <c r="AK5" s="233" t="n"/>
      <c r="AL5" s="233" t="n"/>
      <c r="AM5" s="233" t="n"/>
      <c r="AN5" s="233" t="n"/>
      <c r="AO5" s="233" t="n"/>
      <c r="AP5" s="233" t="n"/>
      <c r="AQ5" s="233" t="n"/>
      <c r="AR5" s="233" t="n"/>
    </row>
    <row r="6" ht="20" customHeight="1" s="28">
      <c r="A6" t="inlineStr">
        <is>
          <t>Czechia</t>
        </is>
      </c>
      <c r="B6" s="283" t="inlineStr"/>
      <c r="C6" s="29" t="inlineStr">
        <is>
          <t>M75</t>
        </is>
      </c>
      <c r="D6" s="274">
        <f>IFERROR(INDEX('Group Stage'!$C$4:$C$51,SUMPRODUCT(('Group Stage'!$A$4:$A$51="F")*('Group Stage'!$L$4:$L$51=1)*(ROW('Group Stage'!$C$4:$C$51)-ROW('Group Stage'!$C$4)+1))),"F1 TBD")</f>
        <v/>
      </c>
      <c r="E6" s="274">
        <f>IFERROR(INDEX('Group Stage'!$C$4:$C$51,SUMPRODUCT(('Group Stage'!$A$4:$A$51="C")*('Group Stage'!$L$4:$L$51=2)*(ROW('Group Stage'!$C$4:$C$51)-ROW('Group Stage'!$C$4)+1))),"C2 TBD")</f>
        <v/>
      </c>
      <c r="H6">
        <f>'Tournament Map'!A14</f>
        <v/>
      </c>
      <c r="I6" t="inlineStr">
        <is>
          <t>R32-02</t>
        </is>
      </c>
      <c r="K6" t="inlineStr">
        <is>
          <t>R32-04</t>
        </is>
      </c>
      <c r="L6">
        <f>'Tournament Map'!B27</f>
        <v/>
      </c>
      <c r="O6" s="272">
        <f>IFERROR(INDEX('Annex C'!$B$2:$I$496,MATCH($O$3,'Annex C'!$J$2:$J$496,0),MATCH(O$4,'Annex C'!$B$1:$I$1,0)),"")</f>
        <v/>
      </c>
      <c r="P6" s="272">
        <f>IFERROR(INDEX('Annex C'!$B$2:$I$496,MATCH($O$3,'Annex C'!$J$2:$J$496,0),MATCH(P$4,'Annex C'!$B$1:$I$1,0)),"")</f>
        <v/>
      </c>
      <c r="Q6" s="272">
        <f>IFERROR(INDEX('Annex C'!$B$2:$I$496,MATCH($O$3,'Annex C'!$J$2:$J$496,0),MATCH(Q$4,'Annex C'!$B$1:$I$1,0)),"")</f>
        <v/>
      </c>
      <c r="R6" s="272">
        <f>IFERROR(INDEX('Annex C'!$B$2:$I$496,MATCH($O$3,'Annex C'!$J$2:$J$496,0),MATCH(R$4,'Annex C'!$B$1:$I$1,0)),"")</f>
        <v/>
      </c>
      <c r="S6" s="272">
        <f>IFERROR(INDEX('Annex C'!$B$2:$I$496,MATCH($O$3,'Annex C'!$J$2:$J$496,0),MATCH(S$4,'Annex C'!$B$1:$I$1,0)),"")</f>
        <v/>
      </c>
      <c r="T6" s="272">
        <f>IFERROR(INDEX('Annex C'!$B$2:$I$496,MATCH($O$3,'Annex C'!$J$2:$J$496,0),MATCH(T$4,'Annex C'!$B$1:$I$1,0)),"")</f>
        <v/>
      </c>
      <c r="U6" s="272">
        <f>IFERROR(INDEX('Annex C'!$B$2:$I$496,MATCH($O$3,'Annex C'!$J$2:$J$496,0),MATCH(U$4,'Annex C'!$B$1:$I$1,0)),"")</f>
        <v/>
      </c>
      <c r="V6" s="272">
        <f>IFERROR(INDEX('Annex C'!$B$2:$I$496,MATCH($O$3,'Annex C'!$J$2:$J$496,0),MATCH(V$4,'Annex C'!$B$1:$I$1,0)),"")</f>
        <v/>
      </c>
      <c r="W6" s="233" t="n"/>
      <c r="X6" s="233" t="n"/>
      <c r="Y6" s="233" t="n"/>
      <c r="Z6" s="233" t="n"/>
      <c r="AA6" s="233" t="n"/>
      <c r="AB6" s="233" t="n"/>
      <c r="AC6" s="233" t="n"/>
      <c r="AD6" s="233" t="n"/>
      <c r="AE6" s="233" t="n"/>
      <c r="AF6" s="233" t="n"/>
      <c r="AG6" s="233" t="n"/>
      <c r="AH6" s="233" t="n"/>
      <c r="AI6" s="233" t="n"/>
      <c r="AJ6" s="233" t="n"/>
      <c r="AK6" s="233" t="n"/>
      <c r="AL6" s="233" t="n"/>
      <c r="AM6" s="233" t="n"/>
      <c r="AN6" s="233" t="n"/>
      <c r="AO6" s="233" t="n"/>
      <c r="AP6" s="233" t="n"/>
      <c r="AQ6" s="233" t="n"/>
      <c r="AR6" s="233" t="n"/>
    </row>
    <row r="7" ht="20" customHeight="1" s="28">
      <c r="A7" t="inlineStr">
        <is>
          <t>Canada</t>
        </is>
      </c>
      <c r="B7" s="283" t="inlineStr"/>
      <c r="C7" s="29" t="inlineStr">
        <is>
          <t>M83</t>
        </is>
      </c>
      <c r="D7" s="274">
        <f>IFERROR(INDEX('Group Stage'!$C$4:$C$51,SUMPRODUCT(('Group Stage'!$A$4:$A$51="K")*('Group Stage'!$L$4:$L$51=2)*(ROW('Group Stage'!$C$4:$C$51)-ROW('Group Stage'!$C$4)+1))),"K2 TBD")</f>
        <v/>
      </c>
      <c r="E7" s="274">
        <f>IFERROR(INDEX('Group Stage'!$C$4:$C$51,SUMPRODUCT(('Group Stage'!$A$4:$A$51="L")*('Group Stage'!$L$4:$L$51=2)*(ROW('Group Stage'!$C$4:$C$51)-ROW('Group Stage'!$C$4)+1))),"L2 TBD")</f>
        <v/>
      </c>
      <c r="G7" t="inlineStr">
        <is>
          <t>R32-03</t>
        </is>
      </c>
      <c r="H7">
        <f>'Tournament Map'!A19</f>
        <v/>
      </c>
      <c r="I7" t="inlineStr">
        <is>
          <t>R32-03</t>
        </is>
      </c>
      <c r="K7" t="inlineStr">
        <is>
          <t>R32-05</t>
        </is>
      </c>
      <c r="L7">
        <f>'Tournament Map'!B33</f>
        <v/>
      </c>
      <c r="W7" s="233" t="n"/>
      <c r="X7" s="233" t="n"/>
      <c r="Y7" s="233" t="n"/>
      <c r="Z7" s="233" t="n"/>
      <c r="AA7" s="233" t="n"/>
      <c r="AB7" s="233" t="n"/>
      <c r="AC7" s="233" t="n"/>
      <c r="AD7" s="233" t="n"/>
      <c r="AE7" s="233" t="n"/>
      <c r="AF7" s="233" t="n"/>
      <c r="AG7" s="233" t="n"/>
      <c r="AH7" s="233" t="n"/>
      <c r="AI7" s="233" t="n"/>
      <c r="AJ7" s="233" t="n"/>
      <c r="AK7" s="233" t="n"/>
      <c r="AL7" s="233" t="n"/>
      <c r="AM7" s="233" t="n"/>
      <c r="AN7" s="233" t="n"/>
      <c r="AO7" s="233" t="n"/>
      <c r="AP7" s="233" t="n"/>
      <c r="AQ7" s="233" t="n"/>
      <c r="AR7" s="233" t="n"/>
    </row>
    <row r="8" ht="20" customHeight="1" s="28">
      <c r="A8" t="inlineStr">
        <is>
          <t>Bosnia and Herzegovina</t>
        </is>
      </c>
      <c r="B8" s="283" t="inlineStr"/>
      <c r="C8" s="29" t="inlineStr">
        <is>
          <t>M84</t>
        </is>
      </c>
      <c r="D8" s="274">
        <f>IFERROR(INDEX('Group Stage'!$C$4:$C$51,SUMPRODUCT(('Group Stage'!$A$4:$A$51="H")*('Group Stage'!$L$4:$L$51=1)*(ROW('Group Stage'!$C$4:$C$51)-ROW('Group Stage'!$C$4)+1))),"H1 TBD")</f>
        <v/>
      </c>
      <c r="E8" s="274">
        <f>IFERROR(INDEX('Group Stage'!$C$4:$C$51,SUMPRODUCT(('Group Stage'!$A$4:$A$51="J")*('Group Stage'!$L$4:$L$51=2)*(ROW('Group Stage'!$C$4:$C$51)-ROW('Group Stage'!$C$4)+1))),"J2 TBD")</f>
        <v/>
      </c>
      <c r="H8">
        <f>'Tournament Map'!A20</f>
        <v/>
      </c>
      <c r="I8" t="inlineStr">
        <is>
          <t>R32-03</t>
        </is>
      </c>
      <c r="K8" t="inlineStr">
        <is>
          <t>R32-06</t>
        </is>
      </c>
      <c r="L8">
        <f>'Tournament Map'!B39</f>
        <v/>
      </c>
      <c r="W8" s="233" t="n"/>
      <c r="X8" s="233" t="n"/>
      <c r="Y8" s="233" t="n"/>
      <c r="Z8" s="233" t="n"/>
      <c r="AA8" s="233" t="n"/>
      <c r="AB8" s="233" t="n"/>
      <c r="AC8" s="233" t="n"/>
      <c r="AD8" s="233" t="n"/>
      <c r="AE8" s="233" t="n"/>
      <c r="AF8" s="233" t="n"/>
      <c r="AG8" s="233" t="n"/>
      <c r="AH8" s="233" t="n"/>
      <c r="AI8" s="233" t="n"/>
      <c r="AJ8" s="233" t="n"/>
      <c r="AK8" s="233" t="n"/>
      <c r="AL8" s="233" t="n"/>
      <c r="AM8" s="233" t="n"/>
      <c r="AN8" s="233" t="n"/>
      <c r="AO8" s="233" t="n"/>
      <c r="AP8" s="233" t="n"/>
      <c r="AQ8" s="233" t="n"/>
      <c r="AR8" s="233" t="n"/>
    </row>
    <row r="9" ht="20" customHeight="1" s="28">
      <c r="A9" t="inlineStr">
        <is>
          <t>Switzerland</t>
        </is>
      </c>
      <c r="B9" s="283" t="inlineStr"/>
      <c r="C9" s="29" t="inlineStr">
        <is>
          <t>M81</t>
        </is>
      </c>
      <c r="D9" s="274">
        <f>IFERROR(INDEX('Group Stage'!$C$4:$C$51,SUMPRODUCT(('Group Stage'!$A$4:$A$51="D")*('Group Stage'!$L$4:$L$51=1)*(ROW('Group Stage'!$C$4:$C$51)-ROW('Group Stage'!$C$4)+1))),"D1 TBD")</f>
        <v/>
      </c>
      <c r="E9" s="274">
        <f>IFERROR(INDEX('Group Stage'!$C$4:$C$51,SUMPRODUCT(('Group Stage'!$A$4:$A$51=RIGHT($Q$6,1))*('Group Stage'!$L$4:$L$51=3)*(ROW('Group Stage'!$C$4:$C$51)-ROW('Group Stage'!$C$4)+1))),"3P B/E/F/I/J TBD")</f>
        <v/>
      </c>
      <c r="G9" t="inlineStr">
        <is>
          <t>R32-04</t>
        </is>
      </c>
      <c r="H9">
        <f>'Tournament Map'!A25</f>
        <v/>
      </c>
      <c r="I9" t="inlineStr">
        <is>
          <t>R32-04</t>
        </is>
      </c>
      <c r="K9" t="inlineStr">
        <is>
          <t>R32-07</t>
        </is>
      </c>
      <c r="L9">
        <f>'Tournament Map'!B45</f>
        <v/>
      </c>
      <c r="W9" s="233" t="n"/>
      <c r="X9" s="233" t="n"/>
      <c r="Y9" s="233" t="n"/>
      <c r="Z9" s="233" t="n"/>
      <c r="AA9" s="233" t="n"/>
      <c r="AB9" s="233" t="n"/>
      <c r="AC9" s="233" t="n"/>
      <c r="AD9" s="233" t="n"/>
      <c r="AE9" s="233" t="n"/>
      <c r="AF9" s="233" t="n"/>
      <c r="AG9" s="233" t="n"/>
      <c r="AH9" s="233" t="n"/>
      <c r="AI9" s="233" t="n"/>
      <c r="AJ9" s="233" t="n"/>
      <c r="AK9" s="233" t="n"/>
      <c r="AL9" s="233" t="n"/>
      <c r="AM9" s="233" t="n"/>
      <c r="AN9" s="233" t="n"/>
      <c r="AO9" s="233" t="n"/>
      <c r="AP9" s="233" t="n"/>
      <c r="AQ9" s="233" t="n"/>
      <c r="AR9" s="233" t="n"/>
    </row>
    <row r="10" ht="20" customHeight="1" s="28">
      <c r="A10" t="inlineStr">
        <is>
          <t>Qatar</t>
        </is>
      </c>
      <c r="B10" s="283" t="inlineStr"/>
      <c r="C10" s="29" t="inlineStr">
        <is>
          <t>M82</t>
        </is>
      </c>
      <c r="D10" s="274">
        <f>IFERROR(INDEX('Group Stage'!$C$4:$C$51,SUMPRODUCT(('Group Stage'!$A$4:$A$51="G")*('Group Stage'!$L$4:$L$51=1)*(ROW('Group Stage'!$C$4:$C$51)-ROW('Group Stage'!$C$4)+1))),"G1 TBD")</f>
        <v/>
      </c>
      <c r="E10" s="274">
        <f>IFERROR(INDEX('Group Stage'!$C$4:$C$51,SUMPRODUCT(('Group Stage'!$A$4:$A$51=RIGHT($S$6,1))*('Group Stage'!$L$4:$L$51=3)*(ROW('Group Stage'!$C$4:$C$51)-ROW('Group Stage'!$C$4)+1))),"3P A/E/H/I/J TBD")</f>
        <v/>
      </c>
      <c r="H10">
        <f>'Tournament Map'!A26</f>
        <v/>
      </c>
      <c r="I10" t="inlineStr">
        <is>
          <t>R32-04</t>
        </is>
      </c>
      <c r="K10" t="inlineStr">
        <is>
          <t>R32-08</t>
        </is>
      </c>
      <c r="L10">
        <f>'Tournament Map'!B51</f>
        <v/>
      </c>
      <c r="W10" s="233" t="n"/>
      <c r="X10" s="233" t="n"/>
      <c r="Y10" s="233" t="n"/>
      <c r="Z10" s="233" t="n"/>
      <c r="AA10" s="233" t="n"/>
      <c r="AB10" s="233" t="n"/>
      <c r="AC10" s="233" t="n"/>
      <c r="AD10" s="233" t="n"/>
      <c r="AE10" s="233" t="n"/>
      <c r="AF10" s="233" t="n"/>
      <c r="AG10" s="233" t="n"/>
      <c r="AH10" s="233" t="n"/>
      <c r="AI10" s="233" t="n"/>
      <c r="AJ10" s="233" t="n"/>
      <c r="AK10" s="233" t="n"/>
      <c r="AL10" s="233" t="n"/>
      <c r="AM10" s="233" t="n"/>
      <c r="AN10" s="233" t="n"/>
      <c r="AO10" s="233" t="n"/>
      <c r="AP10" s="233" t="n"/>
      <c r="AQ10" s="233" t="n"/>
      <c r="AR10" s="233" t="n"/>
    </row>
    <row r="11" ht="20" customHeight="1" s="28">
      <c r="A11" t="inlineStr">
        <is>
          <t>Brazil</t>
        </is>
      </c>
      <c r="B11" s="283" t="inlineStr"/>
      <c r="C11" s="29" t="inlineStr">
        <is>
          <t>M76</t>
        </is>
      </c>
      <c r="D11" s="274">
        <f>IFERROR(INDEX('Group Stage'!$C$4:$C$51,SUMPRODUCT(('Group Stage'!$A$4:$A$51="C")*('Group Stage'!$L$4:$L$51=1)*(ROW('Group Stage'!$C$4:$C$51)-ROW('Group Stage'!$C$4)+1))),"C1 TBD")</f>
        <v/>
      </c>
      <c r="E11" s="274">
        <f>IFERROR(INDEX('Group Stage'!$C$4:$C$51,SUMPRODUCT(('Group Stage'!$A$4:$A$51="F")*('Group Stage'!$L$4:$L$51=2)*(ROW('Group Stage'!$C$4:$C$51)-ROW('Group Stage'!$C$4)+1))),"F2 TBD")</f>
        <v/>
      </c>
      <c r="G11" t="inlineStr">
        <is>
          <t>R32-05</t>
        </is>
      </c>
      <c r="H11">
        <f>'Tournament Map'!A31</f>
        <v/>
      </c>
      <c r="I11" t="inlineStr">
        <is>
          <t>R32-05</t>
        </is>
      </c>
      <c r="K11" t="inlineStr">
        <is>
          <t>R32-09</t>
        </is>
      </c>
      <c r="L11">
        <f>'Tournament Map'!AP9</f>
        <v/>
      </c>
      <c r="W11" s="233" t="n"/>
      <c r="X11" s="233" t="n"/>
      <c r="Y11" s="233" t="n"/>
      <c r="Z11" s="233" t="n"/>
      <c r="AA11" s="233" t="n"/>
      <c r="AB11" s="233" t="n"/>
      <c r="AC11" s="233" t="n"/>
      <c r="AD11" s="233" t="n"/>
      <c r="AE11" s="233" t="n"/>
      <c r="AF11" s="233" t="n"/>
      <c r="AG11" s="233" t="n"/>
      <c r="AH11" s="233" t="n"/>
      <c r="AI11" s="233" t="n"/>
      <c r="AJ11" s="233" t="n"/>
      <c r="AK11" s="233" t="n"/>
      <c r="AL11" s="233" t="n"/>
      <c r="AM11" s="233" t="n"/>
      <c r="AN11" s="233" t="n"/>
      <c r="AO11" s="233" t="n"/>
      <c r="AP11" s="233" t="n"/>
      <c r="AQ11" s="233" t="n"/>
      <c r="AR11" s="233" t="n"/>
    </row>
    <row r="12" ht="20" customHeight="1" s="28">
      <c r="A12" t="inlineStr">
        <is>
          <t>Morocco</t>
        </is>
      </c>
      <c r="B12" s="283" t="inlineStr"/>
      <c r="C12" s="29" t="inlineStr">
        <is>
          <t>M78</t>
        </is>
      </c>
      <c r="D12" s="274">
        <f>IFERROR(INDEX('Group Stage'!$C$4:$C$51,SUMPRODUCT(('Group Stage'!$A$4:$A$51="E")*('Group Stage'!$L$4:$L$51=2)*(ROW('Group Stage'!$C$4:$C$51)-ROW('Group Stage'!$C$4)+1))),"E2 TBD")</f>
        <v/>
      </c>
      <c r="E12" s="274">
        <f>IFERROR(INDEX('Group Stage'!$C$4:$C$51,SUMPRODUCT(('Group Stage'!$A$4:$A$51="I")*('Group Stage'!$L$4:$L$51=2)*(ROW('Group Stage'!$C$4:$C$51)-ROW('Group Stage'!$C$4)+1))),"I2 TBD")</f>
        <v/>
      </c>
      <c r="H12">
        <f>'Tournament Map'!A32</f>
        <v/>
      </c>
      <c r="I12" t="inlineStr">
        <is>
          <t>R32-05</t>
        </is>
      </c>
      <c r="K12" t="inlineStr">
        <is>
          <t>R32-10</t>
        </is>
      </c>
      <c r="L12">
        <f>'Tournament Map'!AP15</f>
        <v/>
      </c>
      <c r="W12" s="233" t="n"/>
      <c r="X12" s="233" t="n"/>
      <c r="Y12" s="233" t="n"/>
      <c r="Z12" s="233" t="n"/>
      <c r="AA12" s="233" t="n"/>
      <c r="AB12" s="233" t="n"/>
      <c r="AC12" s="233" t="n"/>
      <c r="AD12" s="233" t="n"/>
      <c r="AE12" s="233" t="n"/>
      <c r="AF12" s="233" t="n"/>
      <c r="AG12" s="233" t="n"/>
      <c r="AH12" s="233" t="n"/>
      <c r="AI12" s="233" t="n"/>
      <c r="AJ12" s="233" t="n"/>
      <c r="AK12" s="233" t="n"/>
      <c r="AL12" s="233" t="n"/>
      <c r="AM12" s="233" t="n"/>
      <c r="AN12" s="233" t="n"/>
      <c r="AO12" s="233" t="n"/>
      <c r="AP12" s="233" t="n"/>
      <c r="AQ12" s="233" t="n"/>
      <c r="AR12" s="233" t="n"/>
    </row>
    <row r="13" ht="20" customHeight="1" s="28">
      <c r="A13" t="inlineStr">
        <is>
          <t>Scotland</t>
        </is>
      </c>
      <c r="B13" s="283" t="inlineStr"/>
      <c r="C13" s="29" t="inlineStr">
        <is>
          <t>M79</t>
        </is>
      </c>
      <c r="D13" s="274">
        <f>IFERROR(INDEX('Group Stage'!$C$4:$C$51,SUMPRODUCT(('Group Stage'!$A$4:$A$51="A")*('Group Stage'!$L$4:$L$51=1)*(ROW('Group Stage'!$C$4:$C$51)-ROW('Group Stage'!$C$4)+1))),"A1 TBD")</f>
        <v/>
      </c>
      <c r="E13" s="274">
        <f>IFERROR(INDEX('Group Stage'!$C$4:$C$51,SUMPRODUCT(('Group Stage'!$A$4:$A$51=RIGHT($O$6,1))*('Group Stage'!$L$4:$L$51=3)*(ROW('Group Stage'!$C$4:$C$51)-ROW('Group Stage'!$C$4)+1))),"3P C/E/F/H/I TBD")</f>
        <v/>
      </c>
      <c r="G13" t="inlineStr">
        <is>
          <t>R32-06</t>
        </is>
      </c>
      <c r="H13">
        <f>'Tournament Map'!A37</f>
        <v/>
      </c>
      <c r="I13" t="inlineStr">
        <is>
          <t>R32-06</t>
        </is>
      </c>
      <c r="K13" t="inlineStr">
        <is>
          <t>R32-11</t>
        </is>
      </c>
      <c r="L13">
        <f>'Tournament Map'!AP21</f>
        <v/>
      </c>
      <c r="W13" s="233" t="n"/>
      <c r="X13" s="233" t="n"/>
      <c r="Y13" s="233" t="n"/>
      <c r="Z13" s="233" t="n"/>
      <c r="AA13" s="233" t="n"/>
      <c r="AB13" s="233" t="n"/>
      <c r="AC13" s="233" t="n"/>
      <c r="AD13" s="233" t="n"/>
      <c r="AE13" s="233" t="n"/>
      <c r="AF13" s="233" t="n"/>
      <c r="AG13" s="233" t="n"/>
      <c r="AH13" s="233" t="n"/>
      <c r="AI13" s="233" t="n"/>
      <c r="AJ13" s="233" t="n"/>
      <c r="AK13" s="233" t="n"/>
      <c r="AL13" s="233" t="n"/>
      <c r="AM13" s="233" t="n"/>
      <c r="AN13" s="233" t="n"/>
      <c r="AO13" s="233" t="n"/>
      <c r="AP13" s="233" t="n"/>
      <c r="AQ13" s="233" t="n"/>
      <c r="AR13" s="233" t="n"/>
    </row>
    <row r="14" ht="20" customHeight="1" s="28">
      <c r="A14" t="inlineStr">
        <is>
          <t>Haiti</t>
        </is>
      </c>
      <c r="B14" s="283" t="inlineStr"/>
      <c r="C14" s="29" t="inlineStr">
        <is>
          <t>M80</t>
        </is>
      </c>
      <c r="D14" s="274">
        <f>IFERROR(INDEX('Group Stage'!$C$4:$C$51,SUMPRODUCT(('Group Stage'!$A$4:$A$51="L")*('Group Stage'!$L$4:$L$51=1)*(ROW('Group Stage'!$C$4:$C$51)-ROW('Group Stage'!$C$4)+1))),"L1 TBD")</f>
        <v/>
      </c>
      <c r="E14" s="274">
        <f>IFERROR(INDEX('Group Stage'!$C$4:$C$51,SUMPRODUCT(('Group Stage'!$A$4:$A$51=RIGHT($V$6,1))*('Group Stage'!$L$4:$L$51=3)*(ROW('Group Stage'!$C$4:$C$51)-ROW('Group Stage'!$C$4)+1))),"3P E/H/I/J/K TBD")</f>
        <v/>
      </c>
      <c r="H14">
        <f>'Tournament Map'!A38</f>
        <v/>
      </c>
      <c r="I14" t="inlineStr">
        <is>
          <t>R32-06</t>
        </is>
      </c>
      <c r="K14" t="inlineStr">
        <is>
          <t>R32-12</t>
        </is>
      </c>
      <c r="L14">
        <f>'Tournament Map'!AP27</f>
        <v/>
      </c>
      <c r="W14" s="233" t="n"/>
      <c r="X14" s="233" t="n"/>
      <c r="Y14" s="233" t="n"/>
      <c r="Z14" s="233" t="n"/>
      <c r="AA14" s="233" t="n"/>
      <c r="AB14" s="233" t="n"/>
      <c r="AC14" s="233" t="n"/>
      <c r="AD14" s="233" t="n"/>
      <c r="AE14" s="233" t="n"/>
      <c r="AF14" s="233" t="n"/>
      <c r="AG14" s="233" t="n"/>
      <c r="AH14" s="233" t="n"/>
      <c r="AI14" s="233" t="n"/>
      <c r="AJ14" s="233" t="n"/>
      <c r="AK14" s="233" t="n"/>
      <c r="AL14" s="233" t="n"/>
      <c r="AM14" s="233" t="n"/>
      <c r="AN14" s="233" t="n"/>
      <c r="AO14" s="233" t="n"/>
      <c r="AP14" s="233" t="n"/>
      <c r="AQ14" s="233" t="n"/>
      <c r="AR14" s="233" t="n"/>
    </row>
    <row r="15" ht="20" customHeight="1" s="28">
      <c r="A15" t="inlineStr">
        <is>
          <t>USA</t>
        </is>
      </c>
      <c r="B15" s="283" t="inlineStr"/>
      <c r="C15" s="29" t="inlineStr">
        <is>
          <t>M86</t>
        </is>
      </c>
      <c r="D15" s="274">
        <f>IFERROR(INDEX('Group Stage'!$C$4:$C$51,SUMPRODUCT(('Group Stage'!$A$4:$A$51="J")*('Group Stage'!$L$4:$L$51=1)*(ROW('Group Stage'!$C$4:$C$51)-ROW('Group Stage'!$C$4)+1))),"J1 TBD")</f>
        <v/>
      </c>
      <c r="E15" s="274">
        <f>IFERROR(INDEX('Group Stage'!$C$4:$C$51,SUMPRODUCT(('Group Stage'!$A$4:$A$51="H")*('Group Stage'!$L$4:$L$51=2)*(ROW('Group Stage'!$C$4:$C$51)-ROW('Group Stage'!$C$4)+1))),"H2 TBD")</f>
        <v/>
      </c>
      <c r="G15" t="inlineStr">
        <is>
          <t>R32-07</t>
        </is>
      </c>
      <c r="H15">
        <f>'Tournament Map'!A43</f>
        <v/>
      </c>
      <c r="I15" t="inlineStr">
        <is>
          <t>R32-07</t>
        </is>
      </c>
      <c r="K15" t="inlineStr">
        <is>
          <t>R32-13</t>
        </is>
      </c>
      <c r="L15">
        <f>'Tournament Map'!AP33</f>
        <v/>
      </c>
      <c r="W15" s="233" t="n"/>
      <c r="X15" s="233" t="n"/>
      <c r="Y15" s="233" t="n"/>
      <c r="Z15" s="233" t="n"/>
      <c r="AA15" s="233" t="n"/>
      <c r="AB15" s="233" t="n"/>
      <c r="AC15" s="233" t="n"/>
      <c r="AD15" s="233" t="n"/>
      <c r="AE15" s="233" t="n"/>
      <c r="AF15" s="233" t="n"/>
      <c r="AG15" s="233" t="n"/>
      <c r="AH15" s="233" t="n"/>
      <c r="AI15" s="233" t="n"/>
      <c r="AJ15" s="233" t="n"/>
      <c r="AK15" s="233" t="n"/>
      <c r="AL15" s="233" t="n"/>
      <c r="AM15" s="233" t="n"/>
      <c r="AN15" s="233" t="n"/>
      <c r="AO15" s="233" t="n"/>
      <c r="AP15" s="233" t="n"/>
      <c r="AQ15" s="233" t="n"/>
      <c r="AR15" s="233" t="n"/>
    </row>
    <row r="16" ht="20" customHeight="1" s="28">
      <c r="A16" t="inlineStr">
        <is>
          <t>Paraguay</t>
        </is>
      </c>
      <c r="B16" s="283" t="inlineStr"/>
      <c r="C16" s="29" t="inlineStr">
        <is>
          <t>M88</t>
        </is>
      </c>
      <c r="D16" s="274">
        <f>IFERROR(INDEX('Group Stage'!$C$4:$C$51,SUMPRODUCT(('Group Stage'!$A$4:$A$51="D")*('Group Stage'!$L$4:$L$51=2)*(ROW('Group Stage'!$C$4:$C$51)-ROW('Group Stage'!$C$4)+1))),"D2 TBD")</f>
        <v/>
      </c>
      <c r="E16" s="274">
        <f>IFERROR(INDEX('Group Stage'!$C$4:$C$51,SUMPRODUCT(('Group Stage'!$A$4:$A$51="G")*('Group Stage'!$L$4:$L$51=2)*(ROW('Group Stage'!$C$4:$C$51)-ROW('Group Stage'!$C$4)+1))),"G2 TBD")</f>
        <v/>
      </c>
      <c r="H16">
        <f>'Tournament Map'!A44</f>
        <v/>
      </c>
      <c r="I16" t="inlineStr">
        <is>
          <t>R32-07</t>
        </is>
      </c>
      <c r="K16" t="inlineStr">
        <is>
          <t>R32-14</t>
        </is>
      </c>
      <c r="L16">
        <f>'Tournament Map'!AP39</f>
        <v/>
      </c>
      <c r="W16" s="233" t="n"/>
      <c r="X16" s="233" t="n"/>
      <c r="Y16" s="233" t="n"/>
      <c r="Z16" s="233" t="n"/>
      <c r="AA16" s="233" t="n"/>
      <c r="AB16" s="233" t="n"/>
      <c r="AC16" s="233" t="n"/>
      <c r="AD16" s="233" t="n"/>
      <c r="AE16" s="233" t="n"/>
      <c r="AF16" s="233" t="n"/>
      <c r="AG16" s="233" t="n"/>
      <c r="AH16" s="233" t="n"/>
      <c r="AI16" s="233" t="n"/>
      <c r="AJ16" s="233" t="n"/>
      <c r="AK16" s="233" t="n"/>
      <c r="AL16" s="233" t="n"/>
      <c r="AM16" s="233" t="n"/>
      <c r="AN16" s="233" t="n"/>
      <c r="AO16" s="233" t="n"/>
      <c r="AP16" s="233" t="n"/>
      <c r="AQ16" s="233" t="n"/>
      <c r="AR16" s="233" t="n"/>
    </row>
    <row r="17" ht="20" customHeight="1" s="28">
      <c r="A17" t="inlineStr">
        <is>
          <t>Australia</t>
        </is>
      </c>
      <c r="B17" s="283" t="inlineStr"/>
      <c r="C17" s="29" t="inlineStr">
        <is>
          <t>M85</t>
        </is>
      </c>
      <c r="D17" s="274">
        <f>IFERROR(INDEX('Group Stage'!$C$4:$C$51,SUMPRODUCT(('Group Stage'!$A$4:$A$51="B")*('Group Stage'!$L$4:$L$51=1)*(ROW('Group Stage'!$C$4:$C$51)-ROW('Group Stage'!$C$4)+1))),"B1 TBD")</f>
        <v/>
      </c>
      <c r="E17" s="274">
        <f>IFERROR(INDEX('Group Stage'!$C$4:$C$51,SUMPRODUCT(('Group Stage'!$A$4:$A$51=RIGHT($P$6,1))*('Group Stage'!$L$4:$L$51=3)*(ROW('Group Stage'!$C$4:$C$51)-ROW('Group Stage'!$C$4)+1))),"3P E/F/G/I/J TBD")</f>
        <v/>
      </c>
      <c r="G17" t="inlineStr">
        <is>
          <t>R32-08</t>
        </is>
      </c>
      <c r="H17">
        <f>'Tournament Map'!A49</f>
        <v/>
      </c>
      <c r="I17" t="inlineStr">
        <is>
          <t>R32-08</t>
        </is>
      </c>
      <c r="K17" t="inlineStr">
        <is>
          <t>R32-15</t>
        </is>
      </c>
      <c r="L17">
        <f>'Tournament Map'!AP45</f>
        <v/>
      </c>
      <c r="W17" s="233" t="n"/>
      <c r="X17" s="233" t="n"/>
      <c r="Y17" s="233" t="n"/>
      <c r="Z17" s="233" t="n"/>
      <c r="AA17" s="233" t="n"/>
      <c r="AB17" s="233" t="n"/>
      <c r="AC17" s="233" t="n"/>
      <c r="AD17" s="233" t="n"/>
      <c r="AE17" s="233" t="n"/>
      <c r="AF17" s="233" t="n"/>
      <c r="AG17" s="233" t="n"/>
      <c r="AH17" s="233" t="n"/>
      <c r="AI17" s="233" t="n"/>
      <c r="AJ17" s="233" t="n"/>
      <c r="AK17" s="233" t="n"/>
      <c r="AL17" s="233" t="n"/>
      <c r="AM17" s="233" t="n"/>
      <c r="AN17" s="233" t="n"/>
      <c r="AO17" s="233" t="n"/>
      <c r="AP17" s="233" t="n"/>
      <c r="AQ17" s="233" t="n"/>
      <c r="AR17" s="233" t="n"/>
    </row>
    <row r="18" ht="20" customHeight="1" s="28">
      <c r="A18" t="inlineStr">
        <is>
          <t>Türkiye</t>
        </is>
      </c>
      <c r="B18" s="283" t="inlineStr"/>
      <c r="C18" s="29" t="inlineStr">
        <is>
          <t>M87</t>
        </is>
      </c>
      <c r="D18" s="274">
        <f>IFERROR(INDEX('Group Stage'!$C$4:$C$51,SUMPRODUCT(('Group Stage'!$A$4:$A$51="K")*('Group Stage'!$L$4:$L$51=1)*(ROW('Group Stage'!$C$4:$C$51)-ROW('Group Stage'!$C$4)+1))),"K1 TBD")</f>
        <v/>
      </c>
      <c r="E18" s="274">
        <f>IFERROR(INDEX('Group Stage'!$C$4:$C$51,SUMPRODUCT(('Group Stage'!$A$4:$A$51=RIGHT($U$6,1))*('Group Stage'!$L$4:$L$51=3)*(ROW('Group Stage'!$C$4:$C$51)-ROW('Group Stage'!$C$4)+1))),"3P D/E/I/J/L TBD")</f>
        <v/>
      </c>
      <c r="H18">
        <f>'Tournament Map'!A50</f>
        <v/>
      </c>
      <c r="I18" t="inlineStr">
        <is>
          <t>R32-08</t>
        </is>
      </c>
      <c r="K18" t="inlineStr">
        <is>
          <t>R32-16</t>
        </is>
      </c>
      <c r="L18">
        <f>'Tournament Map'!AP51</f>
        <v/>
      </c>
      <c r="W18" s="233" t="n"/>
      <c r="X18" s="233" t="n"/>
      <c r="Y18" s="233" t="n"/>
      <c r="Z18" s="233" t="n"/>
      <c r="AA18" s="233" t="n"/>
      <c r="AB18" s="233" t="n"/>
      <c r="AC18" s="233" t="n"/>
      <c r="AD18" s="233" t="n"/>
      <c r="AE18" s="233" t="n"/>
      <c r="AF18" s="233" t="n"/>
      <c r="AG18" s="233" t="n"/>
      <c r="AH18" s="233" t="n"/>
      <c r="AI18" s="233" t="n"/>
      <c r="AJ18" s="233" t="n"/>
      <c r="AK18" s="233" t="n"/>
      <c r="AL18" s="233" t="n"/>
      <c r="AM18" s="233" t="n"/>
      <c r="AN18" s="233" t="n"/>
      <c r="AO18" s="233" t="n"/>
      <c r="AP18" s="233" t="n"/>
      <c r="AQ18" s="233" t="n"/>
      <c r="AR18" s="233" t="n"/>
    </row>
    <row r="19" ht="20" customHeight="1" s="28">
      <c r="A19" t="inlineStr">
        <is>
          <t>Germany</t>
        </is>
      </c>
      <c r="B19" s="283" t="inlineStr"/>
      <c r="G19" t="inlineStr">
        <is>
          <t>R32-09</t>
        </is>
      </c>
      <c r="H19">
        <f>'Tournament Map'!AO7</f>
        <v/>
      </c>
      <c r="I19" t="inlineStr">
        <is>
          <t>R32-09</t>
        </is>
      </c>
      <c r="K19" t="inlineStr">
        <is>
          <t>R16-L1</t>
        </is>
      </c>
      <c r="L19">
        <f>'Tournament Map'!G12</f>
        <v/>
      </c>
      <c r="W19" s="233" t="n"/>
      <c r="X19" s="233" t="n"/>
      <c r="Y19" s="233" t="n"/>
      <c r="Z19" s="233" t="n"/>
      <c r="AA19" s="233" t="n"/>
      <c r="AB19" s="233" t="n"/>
      <c r="AC19" s="233" t="n"/>
      <c r="AD19" s="233" t="n"/>
      <c r="AE19" s="233" t="n"/>
      <c r="AF19" s="233" t="n"/>
      <c r="AG19" s="233" t="n"/>
      <c r="AH19" s="233" t="n"/>
      <c r="AI19" s="233" t="n"/>
      <c r="AJ19" s="233" t="n"/>
      <c r="AK19" s="233" t="n"/>
      <c r="AL19" s="233" t="n"/>
      <c r="AM19" s="233" t="n"/>
      <c r="AN19" s="233" t="n"/>
      <c r="AO19" s="233" t="n"/>
      <c r="AP19" s="233" t="n"/>
      <c r="AQ19" s="233" t="n"/>
      <c r="AR19" s="233" t="n"/>
    </row>
    <row r="20" ht="20" customHeight="1" s="28">
      <c r="A20" t="inlineStr">
        <is>
          <t>Curaçao</t>
        </is>
      </c>
      <c r="B20" s="283" t="inlineStr"/>
      <c r="C20" s="1" t="n"/>
      <c r="D20" s="1" t="n"/>
      <c r="E20" s="1" t="n"/>
      <c r="H20">
        <f>'Tournament Map'!AO8</f>
        <v/>
      </c>
      <c r="I20" t="inlineStr">
        <is>
          <t>R32-09</t>
        </is>
      </c>
      <c r="K20" t="inlineStr">
        <is>
          <t>R16-L2</t>
        </is>
      </c>
      <c r="L20">
        <f>'Tournament Map'!G24</f>
        <v/>
      </c>
      <c r="W20" s="233" t="n"/>
      <c r="X20" s="233" t="n"/>
      <c r="Y20" s="233" t="n"/>
      <c r="Z20" s="233" t="n"/>
      <c r="AA20" s="233" t="n"/>
      <c r="AB20" s="233" t="n"/>
      <c r="AC20" s="233" t="n"/>
      <c r="AD20" s="233" t="n"/>
      <c r="AE20" s="233" t="n"/>
      <c r="AF20" s="233" t="n"/>
      <c r="AG20" s="233" t="n"/>
      <c r="AH20" s="233" t="n"/>
      <c r="AI20" s="233" t="n"/>
      <c r="AJ20" s="233" t="n"/>
      <c r="AK20" s="233" t="n"/>
      <c r="AL20" s="233" t="n"/>
      <c r="AM20" s="233" t="n"/>
      <c r="AN20" s="233" t="n"/>
      <c r="AO20" s="233" t="n"/>
      <c r="AP20" s="233" t="n"/>
      <c r="AQ20" s="233" t="n"/>
      <c r="AR20" s="233" t="n"/>
    </row>
    <row r="21" ht="20" customHeight="1" s="28">
      <c r="A21" t="inlineStr">
        <is>
          <t>Côte d'Ivoire</t>
        </is>
      </c>
      <c r="B21" s="283" t="inlineStr"/>
      <c r="C21" s="1" t="n"/>
      <c r="E21" s="1" t="n"/>
      <c r="G21" t="inlineStr">
        <is>
          <t>R32-10</t>
        </is>
      </c>
      <c r="H21">
        <f>'Tournament Map'!AO13</f>
        <v/>
      </c>
      <c r="I21" t="inlineStr">
        <is>
          <t>R32-10</t>
        </is>
      </c>
      <c r="K21" t="inlineStr">
        <is>
          <t>R16-L3</t>
        </is>
      </c>
      <c r="L21">
        <f>'Tournament Map'!G36</f>
        <v/>
      </c>
      <c r="W21" s="233" t="n"/>
      <c r="X21" s="233" t="n"/>
      <c r="Y21" s="233" t="n"/>
      <c r="Z21" s="233" t="n"/>
      <c r="AA21" s="233" t="n"/>
      <c r="AB21" s="233" t="n"/>
      <c r="AC21" s="233" t="n"/>
      <c r="AD21" s="233" t="n"/>
      <c r="AE21" s="233" t="n"/>
      <c r="AF21" s="233" t="n"/>
      <c r="AG21" s="233" t="n"/>
      <c r="AH21" s="233" t="n"/>
      <c r="AI21" s="233" t="n"/>
      <c r="AJ21" s="233" t="n"/>
      <c r="AK21" s="233" t="n"/>
      <c r="AL21" s="233" t="n"/>
      <c r="AM21" s="233" t="n"/>
      <c r="AN21" s="233" t="n"/>
      <c r="AO21" s="233" t="n"/>
      <c r="AP21" s="233" t="n"/>
      <c r="AQ21" s="233" t="n"/>
      <c r="AR21" s="233" t="n"/>
    </row>
    <row r="22" ht="20" customHeight="1" s="28">
      <c r="A22" t="inlineStr">
        <is>
          <t>Ecuador</t>
        </is>
      </c>
      <c r="B22" s="283" t="inlineStr"/>
      <c r="C22" s="1" t="n"/>
      <c r="E22" s="1" t="n"/>
      <c r="H22">
        <f>'Tournament Map'!AO14</f>
        <v/>
      </c>
      <c r="I22" t="inlineStr">
        <is>
          <t>R32-10</t>
        </is>
      </c>
      <c r="K22" t="inlineStr">
        <is>
          <t>R16-L4</t>
        </is>
      </c>
      <c r="L22">
        <f>'Tournament Map'!G48</f>
        <v/>
      </c>
      <c r="W22" s="233" t="n"/>
      <c r="X22" s="233" t="n"/>
      <c r="Y22" s="233" t="n"/>
      <c r="Z22" s="233" t="n"/>
      <c r="AA22" s="233" t="n"/>
      <c r="AB22" s="233" t="n"/>
      <c r="AC22" s="233" t="n"/>
      <c r="AD22" s="233" t="n"/>
      <c r="AE22" s="233" t="n"/>
      <c r="AF22" s="233" t="n"/>
      <c r="AG22" s="233" t="n"/>
      <c r="AH22" s="233" t="n"/>
      <c r="AI22" s="233" t="n"/>
      <c r="AJ22" s="233" t="n"/>
      <c r="AK22" s="233" t="n"/>
      <c r="AL22" s="233" t="n"/>
      <c r="AM22" s="233" t="n"/>
      <c r="AN22" s="233" t="n"/>
      <c r="AO22" s="233" t="n"/>
      <c r="AP22" s="233" t="n"/>
      <c r="AQ22" s="233" t="n"/>
      <c r="AR22" s="233" t="n"/>
    </row>
    <row r="23" ht="20" customHeight="1" s="28">
      <c r="A23" t="inlineStr">
        <is>
          <t>Netherlands</t>
        </is>
      </c>
      <c r="B23" s="283" t="inlineStr"/>
      <c r="C23" s="1" t="n"/>
      <c r="E23" s="1" t="n"/>
      <c r="G23" t="inlineStr">
        <is>
          <t>R32-11</t>
        </is>
      </c>
      <c r="H23">
        <f>'Tournament Map'!AO19</f>
        <v/>
      </c>
      <c r="I23" t="inlineStr">
        <is>
          <t>R32-11</t>
        </is>
      </c>
      <c r="K23" t="inlineStr">
        <is>
          <t>R16-R1</t>
        </is>
      </c>
      <c r="L23">
        <f>'Tournament Map'!AK12</f>
        <v/>
      </c>
      <c r="W23" s="233" t="n"/>
      <c r="X23" s="233" t="n"/>
      <c r="Y23" s="233" t="n"/>
      <c r="Z23" s="233" t="n"/>
      <c r="AA23" s="233" t="n"/>
      <c r="AB23" s="233" t="n"/>
      <c r="AC23" s="233" t="n"/>
      <c r="AD23" s="233" t="n"/>
      <c r="AE23" s="233" t="n"/>
      <c r="AF23" s="233" t="n"/>
      <c r="AG23" s="233" t="n"/>
      <c r="AH23" s="233" t="n"/>
      <c r="AI23" s="233" t="n"/>
      <c r="AJ23" s="233" t="n"/>
      <c r="AK23" s="233" t="n"/>
      <c r="AL23" s="233" t="n"/>
      <c r="AM23" s="233" t="n"/>
      <c r="AN23" s="233" t="n"/>
      <c r="AO23" s="233" t="n"/>
      <c r="AP23" s="233" t="n"/>
      <c r="AQ23" s="233" t="n"/>
      <c r="AR23" s="233" t="n"/>
    </row>
    <row r="24" ht="20" customHeight="1" s="28">
      <c r="A24" t="inlineStr">
        <is>
          <t>Japan</t>
        </is>
      </c>
      <c r="B24" s="283" t="inlineStr"/>
      <c r="C24" s="1" t="n"/>
      <c r="D24" s="1" t="n"/>
      <c r="E24" s="1" t="n"/>
      <c r="H24">
        <f>'Tournament Map'!AO20</f>
        <v/>
      </c>
      <c r="I24" t="inlineStr">
        <is>
          <t>R32-11</t>
        </is>
      </c>
      <c r="K24" t="inlineStr">
        <is>
          <t>R16-R2</t>
        </is>
      </c>
      <c r="L24">
        <f>'Tournament Map'!AK24</f>
        <v/>
      </c>
      <c r="W24" s="233" t="n"/>
      <c r="X24" s="233" t="n"/>
      <c r="Y24" s="233" t="n"/>
      <c r="Z24" s="233" t="n"/>
      <c r="AA24" s="233" t="n"/>
      <c r="AB24" s="233" t="n"/>
      <c r="AC24" s="233" t="n"/>
      <c r="AD24" s="233" t="n"/>
      <c r="AE24" s="233" t="n"/>
      <c r="AF24" s="233" t="n"/>
      <c r="AG24" s="233" t="n"/>
      <c r="AH24" s="233" t="n"/>
      <c r="AI24" s="233" t="n"/>
      <c r="AJ24" s="233" t="n"/>
      <c r="AK24" s="233" t="n"/>
      <c r="AL24" s="233" t="n"/>
      <c r="AM24" s="233" t="n"/>
      <c r="AN24" s="233" t="n"/>
      <c r="AO24" s="233" t="n"/>
      <c r="AP24" s="233" t="n"/>
      <c r="AQ24" s="233" t="n"/>
      <c r="AR24" s="233" t="n"/>
    </row>
    <row r="25" ht="20" customHeight="1" s="28">
      <c r="A25" t="inlineStr">
        <is>
          <t>Sweden</t>
        </is>
      </c>
      <c r="B25" s="283" t="inlineStr"/>
      <c r="G25" t="inlineStr">
        <is>
          <t>R32-12</t>
        </is>
      </c>
      <c r="H25">
        <f>'Tournament Map'!AO25</f>
        <v/>
      </c>
      <c r="I25" t="inlineStr">
        <is>
          <t>R32-12</t>
        </is>
      </c>
      <c r="K25" t="inlineStr">
        <is>
          <t>R16-R3</t>
        </is>
      </c>
      <c r="L25">
        <f>'Tournament Map'!AK36</f>
        <v/>
      </c>
      <c r="W25" s="233" t="n"/>
      <c r="X25" s="233" t="n"/>
      <c r="Y25" s="233" t="n"/>
      <c r="Z25" s="233" t="n"/>
      <c r="AA25" s="233" t="n"/>
      <c r="AB25" s="233" t="n"/>
      <c r="AC25" s="233" t="n"/>
      <c r="AD25" s="233" t="n"/>
      <c r="AE25" s="233" t="n"/>
      <c r="AF25" s="233" t="n"/>
      <c r="AG25" s="233" t="n"/>
      <c r="AH25" s="233" t="n"/>
      <c r="AI25" s="233" t="n"/>
      <c r="AJ25" s="233" t="n"/>
      <c r="AK25" s="233" t="n"/>
      <c r="AL25" s="233" t="n"/>
      <c r="AM25" s="233" t="n"/>
      <c r="AN25" s="233" t="n"/>
      <c r="AO25" s="233" t="n"/>
      <c r="AP25" s="233" t="n"/>
      <c r="AQ25" s="233" t="n"/>
      <c r="AR25" s="233" t="n"/>
    </row>
    <row r="26" ht="20" customHeight="1" s="28">
      <c r="A26" t="inlineStr">
        <is>
          <t>Tunisia</t>
        </is>
      </c>
      <c r="B26" s="283" t="inlineStr"/>
      <c r="H26">
        <f>'Tournament Map'!AO26</f>
        <v/>
      </c>
      <c r="I26" t="inlineStr">
        <is>
          <t>R32-12</t>
        </is>
      </c>
      <c r="K26" t="inlineStr">
        <is>
          <t>R16-R4</t>
        </is>
      </c>
      <c r="L26">
        <f>'Tournament Map'!AK48</f>
        <v/>
      </c>
      <c r="W26" s="233" t="n"/>
      <c r="X26" s="233" t="n"/>
      <c r="Y26" s="233" t="n"/>
      <c r="Z26" s="233" t="n"/>
      <c r="AA26" s="233" t="n"/>
      <c r="AB26" s="233" t="n"/>
      <c r="AC26" s="233" t="n"/>
      <c r="AD26" s="233" t="n"/>
      <c r="AE26" s="233" t="n"/>
      <c r="AF26" s="233" t="n"/>
      <c r="AG26" s="233" t="n"/>
      <c r="AH26" s="233" t="n"/>
      <c r="AI26" s="233" t="n"/>
      <c r="AJ26" s="233" t="n"/>
      <c r="AK26" s="233" t="n"/>
      <c r="AL26" s="233" t="n"/>
      <c r="AM26" s="233" t="n"/>
      <c r="AN26" s="233" t="n"/>
      <c r="AO26" s="233" t="n"/>
      <c r="AP26" s="233" t="n"/>
      <c r="AQ26" s="233" t="n"/>
      <c r="AR26" s="233" t="n"/>
    </row>
    <row r="27" ht="20" customHeight="1" s="28">
      <c r="A27" t="inlineStr">
        <is>
          <t>Belgium</t>
        </is>
      </c>
      <c r="B27" s="283" t="inlineStr"/>
      <c r="G27" t="inlineStr">
        <is>
          <t>R32-13</t>
        </is>
      </c>
      <c r="H27">
        <f>'Tournament Map'!AO31</f>
        <v/>
      </c>
      <c r="I27" t="inlineStr">
        <is>
          <t>R32-13</t>
        </is>
      </c>
      <c r="K27" t="inlineStr">
        <is>
          <t>QF-L1</t>
        </is>
      </c>
      <c r="L27">
        <f>'Tournament Map'!L18</f>
        <v/>
      </c>
      <c r="W27" s="233" t="n"/>
      <c r="X27" s="233" t="n"/>
      <c r="Y27" s="233" t="n"/>
      <c r="Z27" s="233" t="n"/>
      <c r="AA27" s="233" t="n"/>
      <c r="AB27" s="233" t="n"/>
      <c r="AC27" s="233" t="n"/>
      <c r="AD27" s="233" t="n"/>
      <c r="AE27" s="233" t="n"/>
      <c r="AF27" s="233" t="n"/>
      <c r="AG27" s="233" t="n"/>
      <c r="AH27" s="233" t="n"/>
      <c r="AI27" s="233" t="n"/>
      <c r="AJ27" s="233" t="n"/>
      <c r="AK27" s="233" t="n"/>
      <c r="AL27" s="233" t="n"/>
      <c r="AM27" s="233" t="n"/>
      <c r="AN27" s="233" t="n"/>
      <c r="AO27" s="233" t="n"/>
      <c r="AP27" s="233" t="n"/>
      <c r="AQ27" s="233" t="n"/>
      <c r="AR27" s="233" t="n"/>
    </row>
    <row r="28" ht="20" customHeight="1" s="28">
      <c r="A28" t="inlineStr">
        <is>
          <t>Egypt</t>
        </is>
      </c>
      <c r="B28" s="283" t="inlineStr"/>
      <c r="H28">
        <f>'Tournament Map'!AO32</f>
        <v/>
      </c>
      <c r="I28" t="inlineStr">
        <is>
          <t>R32-13</t>
        </is>
      </c>
      <c r="K28" t="inlineStr">
        <is>
          <t>QF-L2</t>
        </is>
      </c>
      <c r="L28">
        <f>'Tournament Map'!L42</f>
        <v/>
      </c>
      <c r="W28" s="233" t="n"/>
      <c r="X28" s="233" t="n"/>
      <c r="Y28" s="233" t="n"/>
      <c r="Z28" s="233" t="n"/>
      <c r="AA28" s="233" t="n"/>
      <c r="AB28" s="233" t="n"/>
      <c r="AC28" s="233" t="n"/>
      <c r="AD28" s="233" t="n"/>
      <c r="AE28" s="233" t="n"/>
      <c r="AF28" s="233" t="n"/>
      <c r="AG28" s="233" t="n"/>
      <c r="AH28" s="233" t="n"/>
      <c r="AI28" s="233" t="n"/>
      <c r="AJ28" s="233" t="n"/>
      <c r="AK28" s="233" t="n"/>
      <c r="AL28" s="233" t="n"/>
      <c r="AM28" s="233" t="n"/>
      <c r="AN28" s="233" t="n"/>
      <c r="AO28" s="233" t="n"/>
      <c r="AP28" s="233" t="n"/>
      <c r="AQ28" s="233" t="n"/>
      <c r="AR28" s="233" t="n"/>
    </row>
    <row r="29" ht="20" customHeight="1" s="28">
      <c r="A29" t="inlineStr">
        <is>
          <t>IR Iran</t>
        </is>
      </c>
      <c r="B29" s="283" t="inlineStr"/>
      <c r="G29" t="inlineStr">
        <is>
          <t>R32-14</t>
        </is>
      </c>
      <c r="H29">
        <f>'Tournament Map'!AO37</f>
        <v/>
      </c>
      <c r="I29" t="inlineStr">
        <is>
          <t>R32-14</t>
        </is>
      </c>
      <c r="K29" t="inlineStr">
        <is>
          <t>QF-R1</t>
        </is>
      </c>
      <c r="L29">
        <f>'Tournament Map'!AF18</f>
        <v/>
      </c>
      <c r="W29" s="233" t="n"/>
      <c r="X29" s="233" t="n"/>
      <c r="Y29" s="233" t="n"/>
      <c r="Z29" s="233" t="n"/>
      <c r="AA29" s="233" t="n"/>
      <c r="AB29" s="233" t="n"/>
      <c r="AC29" s="233" t="n"/>
      <c r="AD29" s="233" t="n"/>
      <c r="AE29" s="233" t="n"/>
      <c r="AF29" s="233" t="n"/>
      <c r="AG29" s="233" t="n"/>
      <c r="AH29" s="233" t="n"/>
      <c r="AI29" s="233" t="n"/>
      <c r="AJ29" s="233" t="n"/>
      <c r="AK29" s="233" t="n"/>
      <c r="AL29" s="233" t="n"/>
      <c r="AM29" s="233" t="n"/>
      <c r="AN29" s="233" t="n"/>
      <c r="AO29" s="233" t="n"/>
      <c r="AP29" s="233" t="n"/>
      <c r="AQ29" s="233" t="n"/>
      <c r="AR29" s="233" t="n"/>
    </row>
    <row r="30" ht="20" customHeight="1" s="28">
      <c r="A30" t="inlineStr">
        <is>
          <t>New Zealand</t>
        </is>
      </c>
      <c r="B30" s="283" t="inlineStr"/>
      <c r="H30">
        <f>'Tournament Map'!AO38</f>
        <v/>
      </c>
      <c r="I30" t="inlineStr">
        <is>
          <t>R32-14</t>
        </is>
      </c>
      <c r="K30" t="inlineStr">
        <is>
          <t>QF-R2</t>
        </is>
      </c>
      <c r="L30">
        <f>'Tournament Map'!AF42</f>
        <v/>
      </c>
      <c r="W30" s="233" t="n"/>
      <c r="X30" s="233" t="n"/>
      <c r="Y30" s="233" t="n"/>
      <c r="Z30" s="233" t="n"/>
      <c r="AA30" s="233" t="n"/>
      <c r="AB30" s="233" t="n"/>
      <c r="AC30" s="233" t="n"/>
      <c r="AD30" s="233" t="n"/>
      <c r="AE30" s="233" t="n"/>
      <c r="AF30" s="233" t="n"/>
      <c r="AG30" s="233" t="n"/>
      <c r="AH30" s="233" t="n"/>
      <c r="AI30" s="233" t="n"/>
      <c r="AJ30" s="233" t="n"/>
      <c r="AK30" s="233" t="n"/>
      <c r="AL30" s="233" t="n"/>
      <c r="AM30" s="233" t="n"/>
      <c r="AN30" s="233" t="n"/>
      <c r="AO30" s="233" t="n"/>
      <c r="AP30" s="233" t="n"/>
      <c r="AQ30" s="233" t="n"/>
      <c r="AR30" s="233" t="n"/>
    </row>
    <row r="31" ht="20" customHeight="1" s="28">
      <c r="A31" t="inlineStr">
        <is>
          <t>Spain</t>
        </is>
      </c>
      <c r="B31" s="283" t="inlineStr"/>
      <c r="G31" t="inlineStr">
        <is>
          <t>R32-15</t>
        </is>
      </c>
      <c r="H31">
        <f>'Tournament Map'!AO43</f>
        <v/>
      </c>
      <c r="I31" t="inlineStr">
        <is>
          <t>R32-15</t>
        </is>
      </c>
      <c r="K31" t="inlineStr">
        <is>
          <t>SF-L</t>
        </is>
      </c>
      <c r="L31">
        <f>'Tournament Map'!Q30</f>
        <v/>
      </c>
      <c r="W31" s="233" t="n"/>
      <c r="X31" s="233" t="n"/>
      <c r="Y31" s="233" t="n"/>
      <c r="Z31" s="233" t="n"/>
      <c r="AA31" s="233" t="n"/>
      <c r="AB31" s="233" t="n"/>
      <c r="AC31" s="233" t="n"/>
      <c r="AD31" s="233" t="n"/>
      <c r="AE31" s="233" t="n"/>
      <c r="AF31" s="233" t="n"/>
      <c r="AG31" s="233" t="n"/>
      <c r="AH31" s="233" t="n"/>
      <c r="AI31" s="233" t="n"/>
      <c r="AJ31" s="233" t="n"/>
      <c r="AK31" s="233" t="n"/>
      <c r="AL31" s="233" t="n"/>
      <c r="AM31" s="233" t="n"/>
      <c r="AN31" s="233" t="n"/>
      <c r="AO31" s="233" t="n"/>
      <c r="AP31" s="233" t="n"/>
      <c r="AQ31" s="233" t="n"/>
      <c r="AR31" s="233" t="n"/>
    </row>
    <row r="32" ht="20" customHeight="1" s="28">
      <c r="A32" t="inlineStr">
        <is>
          <t>Cabo Verde</t>
        </is>
      </c>
      <c r="B32" s="283" t="inlineStr"/>
      <c r="H32">
        <f>'Tournament Map'!AO44</f>
        <v/>
      </c>
      <c r="I32" t="inlineStr">
        <is>
          <t>R32-15</t>
        </is>
      </c>
      <c r="K32" t="inlineStr">
        <is>
          <t>SF-R</t>
        </is>
      </c>
      <c r="L32">
        <f>'Tournament Map'!AA30</f>
        <v/>
      </c>
      <c r="W32" s="233" t="n"/>
      <c r="X32" s="233" t="n"/>
      <c r="Y32" s="233" t="n"/>
      <c r="Z32" s="233" t="n"/>
      <c r="AA32" s="233" t="n"/>
      <c r="AB32" s="233" t="n"/>
      <c r="AC32" s="233" t="n"/>
      <c r="AD32" s="233" t="n"/>
      <c r="AE32" s="233" t="n"/>
      <c r="AF32" s="233" t="n"/>
      <c r="AG32" s="233" t="n"/>
      <c r="AH32" s="233" t="n"/>
      <c r="AI32" s="233" t="n"/>
      <c r="AJ32" s="233" t="n"/>
      <c r="AK32" s="233" t="n"/>
      <c r="AL32" s="233" t="n"/>
      <c r="AM32" s="233" t="n"/>
      <c r="AN32" s="233" t="n"/>
      <c r="AO32" s="233" t="n"/>
      <c r="AP32" s="233" t="n"/>
      <c r="AQ32" s="233" t="n"/>
      <c r="AR32" s="233" t="n"/>
    </row>
    <row r="33" ht="20" customHeight="1" s="28">
      <c r="A33" t="inlineStr">
        <is>
          <t>Saudi Arabia</t>
        </is>
      </c>
      <c r="B33" s="283" t="inlineStr"/>
      <c r="G33" t="inlineStr">
        <is>
          <t>R32-16</t>
        </is>
      </c>
      <c r="H33">
        <f>'Tournament Map'!AO49</f>
        <v/>
      </c>
      <c r="I33" t="inlineStr">
        <is>
          <t>R32-16</t>
        </is>
      </c>
      <c r="K33" t="inlineStr">
        <is>
          <t>FINAL</t>
        </is>
      </c>
      <c r="L33">
        <f>'Tournament Map'!V30</f>
        <v/>
      </c>
      <c r="W33" s="233" t="n"/>
      <c r="X33" s="233" t="n"/>
      <c r="Y33" s="233" t="n"/>
      <c r="Z33" s="233" t="n"/>
      <c r="AA33" s="233" t="n"/>
      <c r="AB33" s="233" t="n"/>
      <c r="AC33" s="233" t="n"/>
      <c r="AD33" s="233" t="n"/>
      <c r="AE33" s="233" t="n"/>
      <c r="AF33" s="233" t="n"/>
      <c r="AG33" s="233" t="n"/>
      <c r="AH33" s="233" t="n"/>
      <c r="AI33" s="233" t="n"/>
      <c r="AJ33" s="233" t="n"/>
      <c r="AK33" s="233" t="n"/>
      <c r="AL33" s="233" t="n"/>
      <c r="AM33" s="233" t="n"/>
      <c r="AN33" s="233" t="n"/>
      <c r="AO33" s="233" t="n"/>
      <c r="AP33" s="233" t="n"/>
      <c r="AQ33" s="233" t="n"/>
      <c r="AR33" s="233" t="n"/>
    </row>
    <row r="34" ht="20" customHeight="1" s="28">
      <c r="A34" t="inlineStr">
        <is>
          <t>Uruguay</t>
        </is>
      </c>
      <c r="B34" s="283" t="inlineStr"/>
      <c r="H34">
        <f>'Tournament Map'!AO50</f>
        <v/>
      </c>
      <c r="I34" t="inlineStr">
        <is>
          <t>R32-16</t>
        </is>
      </c>
      <c r="K34" t="inlineStr">
        <is>
          <t>THIRD</t>
        </is>
      </c>
      <c r="L34">
        <f>'Tournament Map'!V41</f>
        <v/>
      </c>
      <c r="W34" s="233" t="n"/>
      <c r="X34" s="233" t="n"/>
      <c r="Y34" s="233" t="n"/>
      <c r="Z34" s="233" t="n"/>
      <c r="AA34" s="233" t="n"/>
      <c r="AB34" s="233" t="n"/>
      <c r="AC34" s="233" t="n"/>
      <c r="AD34" s="233" t="n"/>
      <c r="AE34" s="233" t="n"/>
      <c r="AF34" s="233" t="n"/>
      <c r="AG34" s="233" t="n"/>
      <c r="AH34" s="233" t="n"/>
      <c r="AI34" s="233" t="n"/>
      <c r="AJ34" s="233" t="n"/>
      <c r="AK34" s="233" t="n"/>
      <c r="AL34" s="233" t="n"/>
      <c r="AM34" s="233" t="n"/>
      <c r="AN34" s="233" t="n"/>
      <c r="AO34" s="233" t="n"/>
      <c r="AP34" s="233" t="n"/>
      <c r="AQ34" s="233" t="n"/>
      <c r="AR34" s="233" t="n"/>
    </row>
    <row r="35" ht="20" customHeight="1" s="28">
      <c r="A35" t="inlineStr">
        <is>
          <t>France</t>
        </is>
      </c>
      <c r="B35" s="283" t="inlineStr"/>
      <c r="G35" t="inlineStr">
        <is>
          <t>R16-L1</t>
        </is>
      </c>
      <c r="H35">
        <f>'Tournament Map'!F10</f>
        <v/>
      </c>
      <c r="I35" t="inlineStr">
        <is>
          <t>R16-L1</t>
        </is>
      </c>
      <c r="W35" s="233" t="n"/>
      <c r="X35" s="233" t="n"/>
      <c r="Y35" s="233" t="n"/>
      <c r="Z35" s="233" t="n"/>
      <c r="AA35" s="233" t="n"/>
      <c r="AB35" s="233" t="n"/>
      <c r="AC35" s="233" t="n"/>
      <c r="AD35" s="233" t="n"/>
      <c r="AE35" s="233" t="n"/>
      <c r="AF35" s="233" t="n"/>
      <c r="AG35" s="233" t="n"/>
      <c r="AH35" s="233" t="n"/>
      <c r="AI35" s="233" t="n"/>
      <c r="AJ35" s="233" t="n"/>
      <c r="AK35" s="233" t="n"/>
      <c r="AL35" s="233" t="n"/>
      <c r="AM35" s="233" t="n"/>
      <c r="AN35" s="233" t="n"/>
      <c r="AO35" s="233" t="n"/>
      <c r="AP35" s="233" t="n"/>
      <c r="AQ35" s="233" t="n"/>
      <c r="AR35" s="233" t="n"/>
    </row>
    <row r="36" ht="20" customHeight="1" s="28">
      <c r="A36" t="inlineStr">
        <is>
          <t>Senegal</t>
        </is>
      </c>
      <c r="B36" s="283" t="inlineStr"/>
      <c r="H36">
        <f>'Tournament Map'!F11</f>
        <v/>
      </c>
      <c r="I36" t="inlineStr">
        <is>
          <t>R16-L1</t>
        </is>
      </c>
      <c r="W36" s="233" t="n"/>
      <c r="X36" s="233" t="n"/>
      <c r="Y36" s="233" t="n"/>
      <c r="Z36" s="233" t="n"/>
      <c r="AA36" s="233" t="n"/>
      <c r="AB36" s="233" t="n"/>
      <c r="AC36" s="233" t="n"/>
      <c r="AD36" s="233" t="n"/>
      <c r="AE36" s="233" t="n"/>
      <c r="AF36" s="233" t="n"/>
      <c r="AG36" s="233" t="n"/>
      <c r="AH36" s="233" t="n"/>
      <c r="AI36" s="233" t="n"/>
      <c r="AJ36" s="233" t="n"/>
      <c r="AK36" s="233" t="n"/>
      <c r="AL36" s="233" t="n"/>
      <c r="AM36" s="233" t="n"/>
      <c r="AN36" s="233" t="n"/>
      <c r="AO36" s="233" t="n"/>
      <c r="AP36" s="233" t="n"/>
      <c r="AQ36" s="233" t="n"/>
      <c r="AR36" s="233" t="n"/>
    </row>
    <row r="37" ht="20" customHeight="1" s="28">
      <c r="A37" t="inlineStr">
        <is>
          <t>Iraq</t>
        </is>
      </c>
      <c r="B37" s="283" t="inlineStr"/>
      <c r="G37" t="inlineStr">
        <is>
          <t>R16-L2</t>
        </is>
      </c>
      <c r="H37">
        <f>'Tournament Map'!F22</f>
        <v/>
      </c>
      <c r="I37" t="inlineStr">
        <is>
          <t>R16-L2</t>
        </is>
      </c>
      <c r="W37" s="233" t="n"/>
      <c r="X37" s="233" t="n"/>
      <c r="Y37" s="233" t="n"/>
      <c r="Z37" s="233" t="n"/>
      <c r="AA37" s="233" t="n"/>
      <c r="AB37" s="233" t="n"/>
      <c r="AC37" s="233" t="n"/>
      <c r="AD37" s="233" t="n"/>
      <c r="AE37" s="233" t="n"/>
      <c r="AF37" s="233" t="n"/>
      <c r="AG37" s="233" t="n"/>
      <c r="AH37" s="233" t="n"/>
      <c r="AI37" s="233" t="n"/>
      <c r="AJ37" s="233" t="n"/>
      <c r="AK37" s="233" t="n"/>
      <c r="AL37" s="233" t="n"/>
      <c r="AM37" s="233" t="n"/>
      <c r="AN37" s="233" t="n"/>
      <c r="AO37" s="233" t="n"/>
      <c r="AP37" s="233" t="n"/>
      <c r="AQ37" s="233" t="n"/>
      <c r="AR37" s="233" t="n"/>
    </row>
    <row r="38" ht="20" customHeight="1" s="28">
      <c r="A38" t="inlineStr">
        <is>
          <t>Norway</t>
        </is>
      </c>
      <c r="B38" s="283" t="inlineStr"/>
      <c r="H38">
        <f>'Tournament Map'!F23</f>
        <v/>
      </c>
      <c r="I38" t="inlineStr">
        <is>
          <t>R16-L2</t>
        </is>
      </c>
      <c r="W38" s="233" t="n"/>
      <c r="X38" s="233" t="n"/>
      <c r="Y38" s="233" t="n"/>
      <c r="Z38" s="233" t="n"/>
      <c r="AA38" s="233" t="n"/>
      <c r="AB38" s="233" t="n"/>
      <c r="AC38" s="233" t="n"/>
      <c r="AD38" s="233" t="n"/>
      <c r="AE38" s="233" t="n"/>
      <c r="AF38" s="233" t="n"/>
      <c r="AG38" s="233" t="n"/>
      <c r="AH38" s="233" t="n"/>
      <c r="AI38" s="233" t="n"/>
      <c r="AJ38" s="233" t="n"/>
      <c r="AK38" s="233" t="n"/>
      <c r="AL38" s="233" t="n"/>
      <c r="AM38" s="233" t="n"/>
      <c r="AN38" s="233" t="n"/>
      <c r="AO38" s="233" t="n"/>
      <c r="AP38" s="233" t="n"/>
      <c r="AQ38" s="233" t="n"/>
      <c r="AR38" s="233" t="n"/>
    </row>
    <row r="39" ht="20" customHeight="1" s="28">
      <c r="A39" t="inlineStr">
        <is>
          <t>Argentina</t>
        </is>
      </c>
      <c r="B39" s="283" t="inlineStr"/>
      <c r="G39" t="inlineStr">
        <is>
          <t>R16-L3</t>
        </is>
      </c>
      <c r="H39">
        <f>'Tournament Map'!F34</f>
        <v/>
      </c>
      <c r="I39" t="inlineStr">
        <is>
          <t>R16-L3</t>
        </is>
      </c>
      <c r="W39" s="233" t="n"/>
      <c r="X39" s="233" t="n"/>
      <c r="Y39" s="233" t="n"/>
      <c r="Z39" s="233" t="n"/>
      <c r="AA39" s="233" t="n"/>
      <c r="AB39" s="233" t="n"/>
      <c r="AC39" s="233" t="n"/>
      <c r="AD39" s="233" t="n"/>
      <c r="AE39" s="233" t="n"/>
      <c r="AF39" s="233" t="n"/>
      <c r="AG39" s="233" t="n"/>
      <c r="AH39" s="233" t="n"/>
      <c r="AI39" s="233" t="n"/>
      <c r="AJ39" s="233" t="n"/>
      <c r="AK39" s="233" t="n"/>
      <c r="AL39" s="233" t="n"/>
      <c r="AM39" s="233" t="n"/>
      <c r="AN39" s="233" t="n"/>
      <c r="AO39" s="233" t="n"/>
      <c r="AP39" s="233" t="n"/>
      <c r="AQ39" s="233" t="n"/>
      <c r="AR39" s="233" t="n"/>
    </row>
    <row r="40" ht="20" customHeight="1" s="28">
      <c r="A40" t="inlineStr">
        <is>
          <t>Algeria</t>
        </is>
      </c>
      <c r="B40" s="283" t="inlineStr"/>
      <c r="H40">
        <f>'Tournament Map'!F35</f>
        <v/>
      </c>
      <c r="I40" t="inlineStr">
        <is>
          <t>R16-L3</t>
        </is>
      </c>
      <c r="W40" s="233" t="n"/>
      <c r="X40" s="233" t="n"/>
      <c r="Y40" s="233" t="n"/>
      <c r="Z40" s="233" t="n"/>
      <c r="AA40" s="233" t="n"/>
      <c r="AB40" s="233" t="n"/>
      <c r="AC40" s="233" t="n"/>
      <c r="AD40" s="233" t="n"/>
      <c r="AE40" s="233" t="n"/>
      <c r="AF40" s="233" t="n"/>
      <c r="AG40" s="233" t="n"/>
      <c r="AH40" s="233" t="n"/>
      <c r="AI40" s="233" t="n"/>
      <c r="AJ40" s="233" t="n"/>
      <c r="AK40" s="233" t="n"/>
      <c r="AL40" s="233" t="n"/>
      <c r="AM40" s="233" t="n"/>
      <c r="AN40" s="233" t="n"/>
      <c r="AO40" s="233" t="n"/>
      <c r="AP40" s="233" t="n"/>
      <c r="AQ40" s="233" t="n"/>
      <c r="AR40" s="233" t="n"/>
    </row>
    <row r="41" ht="20" customHeight="1" s="28">
      <c r="A41" t="inlineStr">
        <is>
          <t>Austria</t>
        </is>
      </c>
      <c r="B41" s="283" t="inlineStr"/>
      <c r="G41" t="inlineStr">
        <is>
          <t>R16-L4</t>
        </is>
      </c>
      <c r="H41">
        <f>'Tournament Map'!F46</f>
        <v/>
      </c>
      <c r="I41" t="inlineStr">
        <is>
          <t>R16-L4</t>
        </is>
      </c>
      <c r="W41" s="233" t="n"/>
      <c r="X41" s="233" t="n"/>
      <c r="Y41" s="233" t="n"/>
      <c r="Z41" s="233" t="n"/>
      <c r="AA41" s="233" t="n"/>
      <c r="AB41" s="233" t="n"/>
      <c r="AC41" s="233" t="n"/>
      <c r="AD41" s="233" t="n"/>
      <c r="AE41" s="233" t="n"/>
      <c r="AF41" s="233" t="n"/>
      <c r="AG41" s="233" t="n"/>
      <c r="AH41" s="233" t="n"/>
      <c r="AI41" s="233" t="n"/>
      <c r="AJ41" s="233" t="n"/>
      <c r="AK41" s="233" t="n"/>
      <c r="AL41" s="233" t="n"/>
      <c r="AM41" s="233" t="n"/>
      <c r="AN41" s="233" t="n"/>
      <c r="AO41" s="233" t="n"/>
      <c r="AP41" s="233" t="n"/>
      <c r="AQ41" s="233" t="n"/>
      <c r="AR41" s="233" t="n"/>
    </row>
    <row r="42" ht="20" customHeight="1" s="28">
      <c r="A42" t="inlineStr">
        <is>
          <t>Jordan</t>
        </is>
      </c>
      <c r="B42" s="283" t="inlineStr"/>
      <c r="H42">
        <f>'Tournament Map'!F47</f>
        <v/>
      </c>
      <c r="I42" t="inlineStr">
        <is>
          <t>R16-L4</t>
        </is>
      </c>
      <c r="W42" s="233" t="n"/>
      <c r="X42" s="233" t="n"/>
      <c r="Y42" s="233" t="n"/>
      <c r="Z42" s="233" t="n"/>
      <c r="AA42" s="233" t="n"/>
      <c r="AB42" s="233" t="n"/>
      <c r="AC42" s="233" t="n"/>
      <c r="AD42" s="233" t="n"/>
      <c r="AE42" s="233" t="n"/>
      <c r="AF42" s="233" t="n"/>
      <c r="AG42" s="233" t="n"/>
      <c r="AH42" s="233" t="n"/>
      <c r="AI42" s="233" t="n"/>
      <c r="AJ42" s="233" t="n"/>
      <c r="AK42" s="233" t="n"/>
      <c r="AL42" s="233" t="n"/>
      <c r="AM42" s="233" t="n"/>
      <c r="AN42" s="233" t="n"/>
      <c r="AO42" s="233" t="n"/>
      <c r="AP42" s="233" t="n"/>
      <c r="AQ42" s="233" t="n"/>
      <c r="AR42" s="233" t="n"/>
    </row>
    <row r="43" ht="20" customHeight="1" s="28">
      <c r="A43" t="inlineStr">
        <is>
          <t>Portugal</t>
        </is>
      </c>
      <c r="B43" s="283" t="inlineStr"/>
      <c r="G43" t="inlineStr">
        <is>
          <t>R16-R1</t>
        </is>
      </c>
      <c r="H43">
        <f>'Tournament Map'!AJ10</f>
        <v/>
      </c>
      <c r="I43" t="inlineStr">
        <is>
          <t>R16-R1</t>
        </is>
      </c>
      <c r="W43" s="233" t="n"/>
      <c r="X43" s="233" t="n"/>
      <c r="Y43" s="233" t="n"/>
      <c r="Z43" s="233" t="n"/>
      <c r="AA43" s="233" t="n"/>
      <c r="AB43" s="233" t="n"/>
      <c r="AC43" s="233" t="n"/>
      <c r="AD43" s="233" t="n"/>
      <c r="AE43" s="233" t="n"/>
      <c r="AF43" s="233" t="n"/>
      <c r="AG43" s="233" t="n"/>
      <c r="AH43" s="233" t="n"/>
      <c r="AI43" s="233" t="n"/>
      <c r="AJ43" s="233" t="n"/>
      <c r="AK43" s="233" t="n"/>
      <c r="AL43" s="233" t="n"/>
      <c r="AM43" s="233" t="n"/>
      <c r="AN43" s="233" t="n"/>
      <c r="AO43" s="233" t="n"/>
      <c r="AP43" s="233" t="n"/>
      <c r="AQ43" s="233" t="n"/>
      <c r="AR43" s="233" t="n"/>
    </row>
    <row r="44" ht="20" customHeight="1" s="28">
      <c r="A44" t="inlineStr">
        <is>
          <t>Congo DR</t>
        </is>
      </c>
      <c r="B44" s="283" t="inlineStr"/>
      <c r="H44">
        <f>'Tournament Map'!AJ11</f>
        <v/>
      </c>
      <c r="I44" t="inlineStr">
        <is>
          <t>R16-R1</t>
        </is>
      </c>
      <c r="W44" s="233" t="n"/>
      <c r="X44" s="233" t="n"/>
      <c r="Y44" s="233" t="n"/>
      <c r="Z44" s="233" t="n"/>
      <c r="AA44" s="233" t="n"/>
      <c r="AB44" s="233" t="n"/>
      <c r="AC44" s="233" t="n"/>
      <c r="AD44" s="233" t="n"/>
      <c r="AE44" s="233" t="n"/>
      <c r="AF44" s="233" t="n"/>
      <c r="AG44" s="233" t="n"/>
      <c r="AH44" s="233" t="n"/>
      <c r="AI44" s="233" t="n"/>
      <c r="AJ44" s="233" t="n"/>
      <c r="AK44" s="233" t="n"/>
      <c r="AL44" s="233" t="n"/>
      <c r="AM44" s="233" t="n"/>
      <c r="AN44" s="233" t="n"/>
      <c r="AO44" s="233" t="n"/>
      <c r="AP44" s="233" t="n"/>
      <c r="AQ44" s="233" t="n"/>
      <c r="AR44" s="233" t="n"/>
    </row>
    <row r="45" ht="20" customHeight="1" s="28">
      <c r="A45" t="inlineStr">
        <is>
          <t>Uzbekistan</t>
        </is>
      </c>
      <c r="B45" s="283" t="inlineStr"/>
      <c r="G45" t="inlineStr">
        <is>
          <t>R16-R2</t>
        </is>
      </c>
      <c r="H45">
        <f>'Tournament Map'!AJ22</f>
        <v/>
      </c>
      <c r="I45" t="inlineStr">
        <is>
          <t>R16-R2</t>
        </is>
      </c>
      <c r="W45" s="233" t="n"/>
      <c r="X45" s="233" t="n"/>
      <c r="Y45" s="233" t="n"/>
      <c r="Z45" s="233" t="n"/>
      <c r="AA45" s="233" t="n"/>
      <c r="AB45" s="233" t="n"/>
      <c r="AC45" s="233" t="n"/>
      <c r="AD45" s="233" t="n"/>
      <c r="AE45" s="233" t="n"/>
      <c r="AF45" s="233" t="n"/>
      <c r="AG45" s="233" t="n"/>
      <c r="AH45" s="233" t="n"/>
      <c r="AI45" s="233" t="n"/>
      <c r="AJ45" s="233" t="n"/>
      <c r="AK45" s="233" t="n"/>
      <c r="AL45" s="233" t="n"/>
      <c r="AM45" s="233" t="n"/>
      <c r="AN45" s="233" t="n"/>
      <c r="AO45" s="233" t="n"/>
      <c r="AP45" s="233" t="n"/>
      <c r="AQ45" s="233" t="n"/>
      <c r="AR45" s="233" t="n"/>
    </row>
    <row r="46" ht="20" customHeight="1" s="28">
      <c r="A46" t="inlineStr">
        <is>
          <t>Colombia</t>
        </is>
      </c>
      <c r="B46" s="283" t="inlineStr"/>
      <c r="H46">
        <f>'Tournament Map'!AJ23</f>
        <v/>
      </c>
      <c r="I46" t="inlineStr">
        <is>
          <t>R16-R2</t>
        </is>
      </c>
      <c r="W46" s="233" t="n"/>
      <c r="X46" s="233" t="n"/>
      <c r="Y46" s="233" t="n"/>
      <c r="Z46" s="233" t="n"/>
      <c r="AA46" s="233" t="n"/>
      <c r="AB46" s="233" t="n"/>
      <c r="AC46" s="233" t="n"/>
      <c r="AD46" s="233" t="n"/>
      <c r="AE46" s="233" t="n"/>
      <c r="AF46" s="233" t="n"/>
      <c r="AG46" s="233" t="n"/>
      <c r="AH46" s="233" t="n"/>
      <c r="AI46" s="233" t="n"/>
      <c r="AJ46" s="233" t="n"/>
      <c r="AK46" s="233" t="n"/>
      <c r="AL46" s="233" t="n"/>
      <c r="AM46" s="233" t="n"/>
      <c r="AN46" s="233" t="n"/>
      <c r="AO46" s="233" t="n"/>
      <c r="AP46" s="233" t="n"/>
      <c r="AQ46" s="233" t="n"/>
      <c r="AR46" s="233" t="n"/>
    </row>
    <row r="47" ht="20" customHeight="1" s="28">
      <c r="A47" t="inlineStr">
        <is>
          <t>England</t>
        </is>
      </c>
      <c r="B47" s="283" t="inlineStr"/>
      <c r="G47" t="inlineStr">
        <is>
          <t>R16-R3</t>
        </is>
      </c>
      <c r="H47">
        <f>'Tournament Map'!AJ34</f>
        <v/>
      </c>
      <c r="I47" t="inlineStr">
        <is>
          <t>R16-R3</t>
        </is>
      </c>
      <c r="W47" s="233" t="n"/>
      <c r="X47" s="233" t="n"/>
      <c r="Y47" s="233" t="n"/>
      <c r="Z47" s="233" t="n"/>
      <c r="AA47" s="233" t="n"/>
      <c r="AB47" s="233" t="n"/>
      <c r="AC47" s="233" t="n"/>
      <c r="AD47" s="233" t="n"/>
      <c r="AE47" s="233" t="n"/>
      <c r="AF47" s="233" t="n"/>
      <c r="AG47" s="233" t="n"/>
      <c r="AH47" s="233" t="n"/>
      <c r="AI47" s="233" t="n"/>
      <c r="AJ47" s="233" t="n"/>
      <c r="AK47" s="233" t="n"/>
      <c r="AL47" s="233" t="n"/>
      <c r="AM47" s="233" t="n"/>
      <c r="AN47" s="233" t="n"/>
      <c r="AO47" s="233" t="n"/>
      <c r="AP47" s="233" t="n"/>
      <c r="AQ47" s="233" t="n"/>
      <c r="AR47" s="233" t="n"/>
    </row>
    <row r="48" ht="20" customHeight="1" s="28">
      <c r="A48" t="inlineStr">
        <is>
          <t>Croatia</t>
        </is>
      </c>
      <c r="B48" s="283" t="inlineStr"/>
      <c r="H48">
        <f>'Tournament Map'!AJ35</f>
        <v/>
      </c>
      <c r="I48" t="inlineStr">
        <is>
          <t>R16-R3</t>
        </is>
      </c>
      <c r="W48" s="233" t="n"/>
      <c r="X48" s="233" t="n"/>
      <c r="Y48" s="233" t="n"/>
      <c r="Z48" s="233" t="n"/>
      <c r="AA48" s="233" t="n"/>
      <c r="AB48" s="233" t="n"/>
      <c r="AC48" s="233" t="n"/>
      <c r="AD48" s="233" t="n"/>
      <c r="AE48" s="233" t="n"/>
      <c r="AF48" s="233" t="n"/>
      <c r="AG48" s="233" t="n"/>
      <c r="AH48" s="233" t="n"/>
      <c r="AI48" s="233" t="n"/>
      <c r="AJ48" s="233" t="n"/>
      <c r="AK48" s="233" t="n"/>
      <c r="AL48" s="233" t="n"/>
      <c r="AM48" s="233" t="n"/>
      <c r="AN48" s="233" t="n"/>
      <c r="AO48" s="233" t="n"/>
      <c r="AP48" s="233" t="n"/>
      <c r="AQ48" s="233" t="n"/>
      <c r="AR48" s="233" t="n"/>
    </row>
    <row r="49" ht="20" customHeight="1" s="28">
      <c r="A49" t="inlineStr">
        <is>
          <t>Ghana</t>
        </is>
      </c>
      <c r="B49" s="283" t="inlineStr"/>
      <c r="G49" t="inlineStr">
        <is>
          <t>R16-R4</t>
        </is>
      </c>
      <c r="H49">
        <f>'Tournament Map'!AJ46</f>
        <v/>
      </c>
      <c r="I49" t="inlineStr">
        <is>
          <t>R16-R4</t>
        </is>
      </c>
      <c r="W49" s="233" t="n"/>
      <c r="X49" s="233" t="n"/>
      <c r="Y49" s="233" t="n"/>
      <c r="Z49" s="233" t="n"/>
      <c r="AA49" s="233" t="n"/>
      <c r="AB49" s="233" t="n"/>
      <c r="AC49" s="233" t="n"/>
      <c r="AD49" s="233" t="n"/>
      <c r="AE49" s="233" t="n"/>
      <c r="AF49" s="233" t="n"/>
      <c r="AG49" s="233" t="n"/>
      <c r="AH49" s="233" t="n"/>
      <c r="AI49" s="233" t="n"/>
      <c r="AJ49" s="233" t="n"/>
      <c r="AK49" s="233" t="n"/>
      <c r="AL49" s="233" t="n"/>
      <c r="AM49" s="233" t="n"/>
      <c r="AN49" s="233" t="n"/>
      <c r="AO49" s="233" t="n"/>
      <c r="AP49" s="233" t="n"/>
      <c r="AQ49" s="233" t="n"/>
      <c r="AR49" s="233" t="n"/>
    </row>
    <row r="50" ht="20" customHeight="1" s="28">
      <c r="A50" t="inlineStr">
        <is>
          <t>Panama</t>
        </is>
      </c>
      <c r="B50" s="283" t="inlineStr"/>
      <c r="H50">
        <f>'Tournament Map'!AJ47</f>
        <v/>
      </c>
      <c r="I50" t="inlineStr">
        <is>
          <t>R16-R4</t>
        </is>
      </c>
      <c r="W50" s="233" t="n"/>
      <c r="X50" s="233" t="n"/>
      <c r="Y50" s="233" t="n"/>
      <c r="Z50" s="233" t="n"/>
      <c r="AA50" s="233" t="n"/>
      <c r="AB50" s="233" t="n"/>
      <c r="AC50" s="233" t="n"/>
      <c r="AD50" s="233" t="n"/>
      <c r="AE50" s="233" t="n"/>
      <c r="AF50" s="233" t="n"/>
      <c r="AG50" s="233" t="n"/>
      <c r="AH50" s="233" t="n"/>
      <c r="AI50" s="233" t="n"/>
      <c r="AJ50" s="233" t="n"/>
      <c r="AK50" s="233" t="n"/>
      <c r="AL50" s="233" t="n"/>
      <c r="AM50" s="233" t="n"/>
      <c r="AN50" s="233" t="n"/>
      <c r="AO50" s="233" t="n"/>
      <c r="AP50" s="233" t="n"/>
      <c r="AQ50" s="233" t="n"/>
      <c r="AR50" s="233" t="n"/>
    </row>
    <row r="51" ht="18" customHeight="1" s="28">
      <c r="G51" t="inlineStr">
        <is>
          <t>QF-L1</t>
        </is>
      </c>
      <c r="H51">
        <f>'Tournament Map'!K16</f>
        <v/>
      </c>
      <c r="I51" t="inlineStr">
        <is>
          <t>QF-L1</t>
        </is>
      </c>
      <c r="W51" s="233" t="n"/>
      <c r="X51" s="233" t="n"/>
      <c r="Y51" s="233" t="n"/>
      <c r="Z51" s="233" t="n"/>
      <c r="AA51" s="233" t="n"/>
      <c r="AB51" s="233" t="n"/>
      <c r="AC51" s="233" t="n"/>
      <c r="AD51" s="233" t="n"/>
      <c r="AE51" s="233" t="n"/>
      <c r="AF51" s="233" t="n"/>
      <c r="AG51" s="233" t="n"/>
      <c r="AH51" s="233" t="n"/>
      <c r="AI51" s="233" t="n"/>
      <c r="AJ51" s="233" t="n"/>
      <c r="AK51" s="233" t="n"/>
      <c r="AL51" s="233" t="n"/>
      <c r="AM51" s="233" t="n"/>
      <c r="AN51" s="233" t="n"/>
      <c r="AO51" s="233" t="n"/>
      <c r="AP51" s="233" t="n"/>
      <c r="AQ51" s="233" t="n"/>
      <c r="AR51" s="233" t="n"/>
    </row>
    <row r="52" ht="18" customHeight="1" s="28">
      <c r="H52">
        <f>'Tournament Map'!K17</f>
        <v/>
      </c>
      <c r="I52" t="inlineStr">
        <is>
          <t>QF-L1</t>
        </is>
      </c>
      <c r="W52" s="233" t="n"/>
      <c r="X52" s="233" t="n"/>
      <c r="Y52" s="233" t="n"/>
      <c r="Z52" s="233" t="n"/>
      <c r="AA52" s="233" t="n"/>
      <c r="AB52" s="233" t="n"/>
      <c r="AC52" s="233" t="n"/>
      <c r="AD52" s="233" t="n"/>
      <c r="AE52" s="233" t="n"/>
      <c r="AF52" s="233" t="n"/>
      <c r="AG52" s="233" t="n"/>
      <c r="AH52" s="233" t="n"/>
      <c r="AI52" s="233" t="n"/>
      <c r="AJ52" s="233" t="n"/>
      <c r="AK52" s="233" t="n"/>
      <c r="AL52" s="233" t="n"/>
      <c r="AM52" s="233" t="n"/>
      <c r="AN52" s="233" t="n"/>
      <c r="AO52" s="233" t="n"/>
      <c r="AP52" s="233" t="n"/>
      <c r="AQ52" s="233" t="n"/>
      <c r="AR52" s="233" t="n"/>
    </row>
    <row r="53" ht="18" customHeight="1" s="28">
      <c r="G53" t="inlineStr">
        <is>
          <t>QF-L2</t>
        </is>
      </c>
      <c r="H53">
        <f>'Tournament Map'!K40</f>
        <v/>
      </c>
      <c r="I53" t="inlineStr">
        <is>
          <t>QF-L2</t>
        </is>
      </c>
      <c r="W53" s="233" t="n"/>
      <c r="X53" s="233" t="n"/>
      <c r="Y53" s="233" t="n"/>
      <c r="Z53" s="233" t="n"/>
      <c r="AA53" s="233" t="n"/>
      <c r="AB53" s="233" t="n"/>
      <c r="AC53" s="233" t="n"/>
      <c r="AD53" s="233" t="n"/>
      <c r="AE53" s="233" t="n"/>
      <c r="AF53" s="233" t="n"/>
      <c r="AG53" s="233" t="n"/>
      <c r="AH53" s="233" t="n"/>
      <c r="AI53" s="233" t="n"/>
      <c r="AJ53" s="233" t="n"/>
      <c r="AK53" s="233" t="n"/>
      <c r="AL53" s="233" t="n"/>
      <c r="AM53" s="233" t="n"/>
      <c r="AN53" s="233" t="n"/>
      <c r="AO53" s="233" t="n"/>
      <c r="AP53" s="233" t="n"/>
      <c r="AQ53" s="233" t="n"/>
      <c r="AR53" s="233" t="n"/>
    </row>
    <row r="54" ht="18" customHeight="1" s="28">
      <c r="H54">
        <f>'Tournament Map'!K41</f>
        <v/>
      </c>
      <c r="I54" t="inlineStr">
        <is>
          <t>QF-L2</t>
        </is>
      </c>
      <c r="W54" s="233" t="n"/>
      <c r="X54" s="233" t="n"/>
      <c r="Y54" s="233" t="n"/>
      <c r="Z54" s="233" t="n"/>
      <c r="AA54" s="233" t="n"/>
      <c r="AB54" s="233" t="n"/>
      <c r="AC54" s="233" t="n"/>
      <c r="AD54" s="233" t="n"/>
      <c r="AE54" s="233" t="n"/>
      <c r="AF54" s="233" t="n"/>
      <c r="AG54" s="233" t="n"/>
      <c r="AH54" s="233" t="n"/>
      <c r="AI54" s="233" t="n"/>
      <c r="AJ54" s="233" t="n"/>
      <c r="AK54" s="233" t="n"/>
      <c r="AL54" s="233" t="n"/>
      <c r="AM54" s="233" t="n"/>
      <c r="AN54" s="233" t="n"/>
      <c r="AO54" s="233" t="n"/>
      <c r="AP54" s="233" t="n"/>
      <c r="AQ54" s="233" t="n"/>
      <c r="AR54" s="233" t="n"/>
    </row>
    <row r="55" ht="18" customHeight="1" s="28">
      <c r="G55" t="inlineStr">
        <is>
          <t>QF-R1</t>
        </is>
      </c>
      <c r="H55">
        <f>'Tournament Map'!AE16</f>
        <v/>
      </c>
      <c r="I55" t="inlineStr">
        <is>
          <t>QF-R1</t>
        </is>
      </c>
      <c r="W55" s="233" t="n"/>
      <c r="X55" s="233" t="n"/>
      <c r="Y55" s="233" t="n"/>
      <c r="Z55" s="233" t="n"/>
      <c r="AA55" s="233" t="n"/>
      <c r="AB55" s="233" t="n"/>
      <c r="AC55" s="233" t="n"/>
      <c r="AD55" s="233" t="n"/>
      <c r="AE55" s="233" t="n"/>
      <c r="AF55" s="233" t="n"/>
      <c r="AG55" s="233" t="n"/>
      <c r="AH55" s="233" t="n"/>
      <c r="AI55" s="233" t="n"/>
      <c r="AJ55" s="233" t="n"/>
      <c r="AK55" s="233" t="n"/>
      <c r="AL55" s="233" t="n"/>
      <c r="AM55" s="233" t="n"/>
      <c r="AN55" s="233" t="n"/>
      <c r="AO55" s="233" t="n"/>
      <c r="AP55" s="233" t="n"/>
      <c r="AQ55" s="233" t="n"/>
      <c r="AR55" s="233" t="n"/>
    </row>
    <row r="56" ht="18" customHeight="1" s="28">
      <c r="H56">
        <f>'Tournament Map'!AE17</f>
        <v/>
      </c>
      <c r="I56" t="inlineStr">
        <is>
          <t>QF-R1</t>
        </is>
      </c>
      <c r="W56" s="233" t="n"/>
      <c r="X56" s="233" t="n"/>
      <c r="Y56" s="233" t="n"/>
      <c r="Z56" s="233" t="n"/>
      <c r="AA56" s="233" t="n"/>
      <c r="AB56" s="233" t="n"/>
      <c r="AC56" s="233" t="n"/>
      <c r="AD56" s="233" t="n"/>
      <c r="AE56" s="233" t="n"/>
      <c r="AF56" s="233" t="n"/>
      <c r="AG56" s="233" t="n"/>
      <c r="AH56" s="233" t="n"/>
      <c r="AI56" s="233" t="n"/>
      <c r="AJ56" s="233" t="n"/>
      <c r="AK56" s="233" t="n"/>
      <c r="AL56" s="233" t="n"/>
      <c r="AM56" s="233" t="n"/>
      <c r="AN56" s="233" t="n"/>
      <c r="AO56" s="233" t="n"/>
      <c r="AP56" s="233" t="n"/>
      <c r="AQ56" s="233" t="n"/>
      <c r="AR56" s="233" t="n"/>
    </row>
    <row r="57" ht="18" customHeight="1" s="28">
      <c r="G57" t="inlineStr">
        <is>
          <t>QF-R2</t>
        </is>
      </c>
      <c r="H57">
        <f>'Tournament Map'!AE40</f>
        <v/>
      </c>
      <c r="I57" t="inlineStr">
        <is>
          <t>QF-R2</t>
        </is>
      </c>
      <c r="W57" s="233" t="n"/>
      <c r="X57" s="233" t="n"/>
      <c r="Y57" s="233" t="n"/>
      <c r="Z57" s="233" t="n"/>
      <c r="AA57" s="233" t="n"/>
      <c r="AB57" s="233" t="n"/>
      <c r="AC57" s="233" t="n"/>
      <c r="AD57" s="233" t="n"/>
      <c r="AE57" s="233" t="n"/>
      <c r="AF57" s="233" t="n"/>
      <c r="AG57" s="233" t="n"/>
      <c r="AH57" s="233" t="n"/>
      <c r="AI57" s="233" t="n"/>
      <c r="AJ57" s="233" t="n"/>
      <c r="AK57" s="233" t="n"/>
      <c r="AL57" s="233" t="n"/>
      <c r="AM57" s="233" t="n"/>
      <c r="AN57" s="233" t="n"/>
      <c r="AO57" s="233" t="n"/>
      <c r="AP57" s="233" t="n"/>
      <c r="AQ57" s="233" t="n"/>
      <c r="AR57" s="233" t="n"/>
    </row>
    <row r="58" ht="18" customHeight="1" s="28">
      <c r="H58">
        <f>'Tournament Map'!AE41</f>
        <v/>
      </c>
      <c r="I58" t="inlineStr">
        <is>
          <t>QF-R2</t>
        </is>
      </c>
      <c r="W58" s="233" t="n"/>
      <c r="X58" s="233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  <c r="AK58" s="233" t="n"/>
      <c r="AL58" s="233" t="n"/>
      <c r="AM58" s="233" t="n"/>
      <c r="AN58" s="233" t="n"/>
      <c r="AO58" s="233" t="n"/>
      <c r="AP58" s="233" t="n"/>
      <c r="AQ58" s="233" t="n"/>
      <c r="AR58" s="233" t="n"/>
    </row>
    <row r="59" ht="18" customHeight="1" s="28">
      <c r="G59" t="inlineStr">
        <is>
          <t>SF-L</t>
        </is>
      </c>
      <c r="H59">
        <f>'Tournament Map'!P28</f>
        <v/>
      </c>
      <c r="I59" t="inlineStr">
        <is>
          <t>SF-L</t>
        </is>
      </c>
      <c r="W59" s="233" t="n"/>
      <c r="X59" s="233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  <c r="AK59" s="233" t="n"/>
      <c r="AL59" s="233" t="n"/>
      <c r="AM59" s="233" t="n"/>
      <c r="AN59" s="233" t="n"/>
      <c r="AO59" s="233" t="n"/>
      <c r="AP59" s="233" t="n"/>
      <c r="AQ59" s="233" t="n"/>
      <c r="AR59" s="233" t="n"/>
    </row>
    <row r="60" ht="18" customHeight="1" s="28">
      <c r="H60">
        <f>'Tournament Map'!P29</f>
        <v/>
      </c>
      <c r="I60" t="inlineStr">
        <is>
          <t>SF-L</t>
        </is>
      </c>
      <c r="W60" s="233" t="n"/>
      <c r="X60" s="233" t="n"/>
      <c r="Y60" s="233" t="n"/>
      <c r="Z60" s="233" t="n"/>
      <c r="AA60" s="233" t="n"/>
      <c r="AB60" s="233" t="n"/>
      <c r="AC60" s="233" t="n"/>
      <c r="AD60" s="233" t="n"/>
      <c r="AE60" s="233" t="n"/>
      <c r="AF60" s="233" t="n"/>
      <c r="AG60" s="233" t="n"/>
      <c r="AH60" s="233" t="n"/>
      <c r="AI60" s="233" t="n"/>
      <c r="AJ60" s="233" t="n"/>
      <c r="AK60" s="233" t="n"/>
      <c r="AL60" s="233" t="n"/>
      <c r="AM60" s="233" t="n"/>
      <c r="AN60" s="233" t="n"/>
      <c r="AO60" s="233" t="n"/>
      <c r="AP60" s="233" t="n"/>
      <c r="AQ60" s="233" t="n"/>
      <c r="AR60" s="233" t="n"/>
    </row>
    <row r="61" ht="18" customHeight="1" s="28">
      <c r="G61" t="inlineStr">
        <is>
          <t>SF-R</t>
        </is>
      </c>
      <c r="H61">
        <f>'Tournament Map'!Z28</f>
        <v/>
      </c>
      <c r="I61" t="inlineStr">
        <is>
          <t>SF-R</t>
        </is>
      </c>
      <c r="W61" s="233" t="n"/>
      <c r="X61" s="233" t="n"/>
      <c r="Y61" s="233" t="n"/>
      <c r="Z61" s="233" t="n"/>
      <c r="AA61" s="233" t="n"/>
      <c r="AB61" s="233" t="n"/>
      <c r="AC61" s="233" t="n"/>
      <c r="AD61" s="233" t="n"/>
      <c r="AE61" s="233" t="n"/>
      <c r="AF61" s="233" t="n"/>
      <c r="AG61" s="233" t="n"/>
      <c r="AH61" s="233" t="n"/>
      <c r="AI61" s="233" t="n"/>
      <c r="AJ61" s="233" t="n"/>
      <c r="AK61" s="233" t="n"/>
      <c r="AL61" s="233" t="n"/>
      <c r="AM61" s="233" t="n"/>
      <c r="AN61" s="233" t="n"/>
      <c r="AO61" s="233" t="n"/>
      <c r="AP61" s="233" t="n"/>
      <c r="AQ61" s="233" t="n"/>
      <c r="AR61" s="233" t="n"/>
    </row>
    <row r="62" ht="18" customHeight="1" s="28">
      <c r="H62">
        <f>'Tournament Map'!Z29</f>
        <v/>
      </c>
      <c r="I62" t="inlineStr">
        <is>
          <t>SF-R</t>
        </is>
      </c>
      <c r="W62" s="233" t="n"/>
      <c r="X62" s="233" t="n"/>
      <c r="Y62" s="233" t="n"/>
      <c r="Z62" s="233" t="n"/>
      <c r="AA62" s="233" t="n"/>
      <c r="AB62" s="233" t="n"/>
      <c r="AC62" s="233" t="n"/>
      <c r="AD62" s="233" t="n"/>
      <c r="AE62" s="233" t="n"/>
      <c r="AF62" s="233" t="n"/>
      <c r="AG62" s="233" t="n"/>
      <c r="AH62" s="233" t="n"/>
      <c r="AI62" s="233" t="n"/>
      <c r="AJ62" s="233" t="n"/>
      <c r="AK62" s="233" t="n"/>
      <c r="AL62" s="233" t="n"/>
      <c r="AM62" s="233" t="n"/>
      <c r="AN62" s="233" t="n"/>
      <c r="AO62" s="233" t="n"/>
      <c r="AP62" s="233" t="n"/>
      <c r="AQ62" s="233" t="n"/>
      <c r="AR62" s="233" t="n"/>
    </row>
    <row r="63" ht="18" customHeight="1" s="28">
      <c r="G63" t="inlineStr">
        <is>
          <t>FINAL</t>
        </is>
      </c>
      <c r="H63">
        <f>'Tournament Map'!U28</f>
        <v/>
      </c>
      <c r="I63" t="inlineStr">
        <is>
          <t>FINAL</t>
        </is>
      </c>
      <c r="W63" s="233" t="n"/>
      <c r="X63" s="233" t="n"/>
      <c r="Y63" s="233" t="n"/>
      <c r="Z63" s="233" t="n"/>
      <c r="AA63" s="233" t="n"/>
      <c r="AB63" s="233" t="n"/>
      <c r="AC63" s="233" t="n"/>
      <c r="AD63" s="233" t="n"/>
      <c r="AE63" s="233" t="n"/>
      <c r="AF63" s="233" t="n"/>
      <c r="AG63" s="233" t="n"/>
      <c r="AH63" s="233" t="n"/>
      <c r="AI63" s="233" t="n"/>
      <c r="AJ63" s="233" t="n"/>
      <c r="AK63" s="233" t="n"/>
      <c r="AL63" s="233" t="n"/>
      <c r="AM63" s="233" t="n"/>
      <c r="AN63" s="233" t="n"/>
      <c r="AO63" s="233" t="n"/>
      <c r="AP63" s="233" t="n"/>
      <c r="AQ63" s="233" t="n"/>
      <c r="AR63" s="233" t="n"/>
    </row>
    <row r="64" ht="18" customHeight="1" s="28">
      <c r="H64">
        <f>'Tournament Map'!U29</f>
        <v/>
      </c>
      <c r="I64" t="inlineStr">
        <is>
          <t>FINAL</t>
        </is>
      </c>
      <c r="W64" s="233" t="n"/>
      <c r="X64" s="233" t="n"/>
      <c r="Y64" s="233" t="n"/>
      <c r="Z64" s="233" t="n"/>
      <c r="AA64" s="233" t="n"/>
      <c r="AB64" s="233" t="n"/>
      <c r="AC64" s="233" t="n"/>
      <c r="AD64" s="233" t="n"/>
      <c r="AE64" s="233" t="n"/>
      <c r="AF64" s="233" t="n"/>
      <c r="AG64" s="233" t="n"/>
      <c r="AH64" s="233" t="n"/>
      <c r="AI64" s="233" t="n"/>
      <c r="AJ64" s="233" t="n"/>
      <c r="AK64" s="233" t="n"/>
      <c r="AL64" s="233" t="n"/>
      <c r="AM64" s="233" t="n"/>
      <c r="AN64" s="233" t="n"/>
      <c r="AO64" s="233" t="n"/>
      <c r="AP64" s="233" t="n"/>
      <c r="AQ64" s="233" t="n"/>
      <c r="AR64" s="233" t="n"/>
    </row>
    <row r="65" ht="18" customHeight="1" s="28">
      <c r="G65" t="inlineStr">
        <is>
          <t>THIRD</t>
        </is>
      </c>
      <c r="H65">
        <f>'Tournament Map'!U39</f>
        <v/>
      </c>
      <c r="I65" t="inlineStr">
        <is>
          <t>THIRD</t>
        </is>
      </c>
      <c r="W65" s="233" t="n"/>
      <c r="X65" s="233" t="n"/>
      <c r="Y65" s="233" t="n"/>
      <c r="Z65" s="233" t="n"/>
      <c r="AA65" s="233" t="n"/>
      <c r="AB65" s="233" t="n"/>
      <c r="AC65" s="233" t="n"/>
      <c r="AD65" s="233" t="n"/>
      <c r="AE65" s="233" t="n"/>
      <c r="AF65" s="233" t="n"/>
      <c r="AG65" s="233" t="n"/>
      <c r="AH65" s="233" t="n"/>
      <c r="AI65" s="233" t="n"/>
      <c r="AJ65" s="233" t="n"/>
      <c r="AK65" s="233" t="n"/>
      <c r="AL65" s="233" t="n"/>
      <c r="AM65" s="233" t="n"/>
      <c r="AN65" s="233" t="n"/>
      <c r="AO65" s="233" t="n"/>
      <c r="AP65" s="233" t="n"/>
      <c r="AQ65" s="233" t="n"/>
      <c r="AR65" s="233" t="n"/>
    </row>
    <row r="66" ht="18" customHeight="1" s="28">
      <c r="H66">
        <f>'Tournament Map'!U40</f>
        <v/>
      </c>
      <c r="I66" t="inlineStr">
        <is>
          <t>THIRD</t>
        </is>
      </c>
      <c r="W66" s="233" t="n"/>
      <c r="X66" s="233" t="n"/>
      <c r="Y66" s="233" t="n"/>
      <c r="Z66" s="233" t="n"/>
      <c r="AA66" s="233" t="n"/>
      <c r="AB66" s="233" t="n"/>
      <c r="AC66" s="233" t="n"/>
      <c r="AD66" s="233" t="n"/>
      <c r="AE66" s="233" t="n"/>
      <c r="AF66" s="233" t="n"/>
      <c r="AG66" s="233" t="n"/>
      <c r="AH66" s="233" t="n"/>
      <c r="AI66" s="233" t="n"/>
      <c r="AJ66" s="233" t="n"/>
      <c r="AK66" s="233" t="n"/>
      <c r="AL66" s="233" t="n"/>
      <c r="AM66" s="233" t="n"/>
      <c r="AN66" s="233" t="n"/>
      <c r="AO66" s="233" t="n"/>
      <c r="AP66" s="233" t="n"/>
      <c r="AQ66" s="233" t="n"/>
      <c r="AR66" s="233" t="n"/>
    </row>
    <row r="67" ht="18" customHeight="1" s="28">
      <c r="W67" s="233" t="n"/>
      <c r="X67" s="233" t="n"/>
      <c r="Y67" s="233" t="n"/>
      <c r="Z67" s="233" t="n"/>
      <c r="AA67" s="233" t="n"/>
      <c r="AB67" s="233" t="n"/>
      <c r="AC67" s="233" t="n"/>
      <c r="AD67" s="233" t="n"/>
      <c r="AE67" s="233" t="n"/>
      <c r="AF67" s="233" t="n"/>
      <c r="AG67" s="233" t="n"/>
      <c r="AH67" s="233" t="n"/>
      <c r="AI67" s="233" t="n"/>
      <c r="AJ67" s="233" t="n"/>
      <c r="AK67" s="233" t="n"/>
      <c r="AL67" s="233" t="n"/>
      <c r="AM67" s="233" t="n"/>
      <c r="AN67" s="233" t="n"/>
      <c r="AO67" s="233" t="n"/>
      <c r="AP67" s="233" t="n"/>
      <c r="AQ67" s="233" t="n"/>
      <c r="AR67" s="233" t="n"/>
    </row>
    <row r="68" ht="18" customHeight="1" s="28">
      <c r="W68" s="233" t="n"/>
      <c r="X68" s="233" t="n"/>
      <c r="Y68" s="233" t="n"/>
      <c r="Z68" s="233" t="n"/>
      <c r="AA68" s="233" t="n"/>
      <c r="AB68" s="233" t="n"/>
      <c r="AC68" s="233" t="n"/>
      <c r="AD68" s="233" t="n"/>
      <c r="AE68" s="233" t="n"/>
      <c r="AF68" s="233" t="n"/>
      <c r="AG68" s="233" t="n"/>
      <c r="AH68" s="233" t="n"/>
      <c r="AI68" s="233" t="n"/>
      <c r="AJ68" s="233" t="n"/>
      <c r="AK68" s="233" t="n"/>
      <c r="AL68" s="233" t="n"/>
      <c r="AM68" s="233" t="n"/>
      <c r="AN68" s="233" t="n"/>
      <c r="AO68" s="233" t="n"/>
      <c r="AP68" s="233" t="n"/>
      <c r="AQ68" s="233" t="n"/>
      <c r="AR68" s="233" t="n"/>
    </row>
    <row r="69" ht="18" customHeight="1" s="28">
      <c r="W69" s="233" t="n"/>
      <c r="X69" s="233" t="n"/>
      <c r="Y69" s="233" t="n"/>
      <c r="Z69" s="233" t="n"/>
      <c r="AA69" s="233" t="n"/>
      <c r="AB69" s="233" t="n"/>
      <c r="AC69" s="233" t="n"/>
      <c r="AD69" s="233" t="n"/>
      <c r="AE69" s="233" t="n"/>
      <c r="AF69" s="233" t="n"/>
      <c r="AG69" s="233" t="n"/>
      <c r="AH69" s="233" t="n"/>
      <c r="AI69" s="233" t="n"/>
      <c r="AJ69" s="233" t="n"/>
      <c r="AK69" s="233" t="n"/>
      <c r="AL69" s="233" t="n"/>
      <c r="AM69" s="233" t="n"/>
      <c r="AN69" s="233" t="n"/>
      <c r="AO69" s="233" t="n"/>
      <c r="AP69" s="233" t="n"/>
      <c r="AQ69" s="233" t="n"/>
      <c r="AR69" s="233" t="n"/>
    </row>
    <row r="70" ht="18" customHeight="1" s="28">
      <c r="W70" s="233" t="n"/>
      <c r="X70" s="233" t="n"/>
      <c r="Y70" s="233" t="n"/>
      <c r="Z70" s="233" t="n"/>
      <c r="AA70" s="233" t="n"/>
      <c r="AB70" s="233" t="n"/>
      <c r="AC70" s="233" t="n"/>
      <c r="AD70" s="233" t="n"/>
      <c r="AE70" s="233" t="n"/>
      <c r="AF70" s="233" t="n"/>
      <c r="AG70" s="233" t="n"/>
      <c r="AH70" s="233" t="n"/>
      <c r="AI70" s="233" t="n"/>
      <c r="AJ70" s="233" t="n"/>
      <c r="AK70" s="233" t="n"/>
      <c r="AL70" s="233" t="n"/>
      <c r="AM70" s="233" t="n"/>
      <c r="AN70" s="233" t="n"/>
      <c r="AO70" s="233" t="n"/>
      <c r="AP70" s="233" t="n"/>
      <c r="AQ70" s="233" t="n"/>
      <c r="AR70" s="233" t="n"/>
    </row>
    <row r="71" ht="18" customHeight="1" s="28">
      <c r="A71" s="233" t="n"/>
      <c r="B71" s="233" t="n"/>
      <c r="C71" s="233" t="n"/>
      <c r="D71" s="233" t="n"/>
      <c r="E71" s="233" t="n"/>
      <c r="F71" s="233" t="n"/>
      <c r="G71" s="233" t="n"/>
      <c r="H71" s="233" t="n"/>
      <c r="I71" s="233" t="n"/>
      <c r="J71" s="233" t="n"/>
      <c r="K71" s="233" t="n"/>
      <c r="L71" s="233" t="n"/>
      <c r="M71" s="233" t="n"/>
      <c r="N71" s="233" t="n"/>
      <c r="O71" s="233" t="n"/>
      <c r="P71" s="233" t="n"/>
      <c r="Q71" s="233" t="n"/>
      <c r="R71" s="233" t="n"/>
      <c r="S71" s="233" t="n"/>
      <c r="T71" s="233" t="n"/>
      <c r="U71" s="233" t="n"/>
      <c r="V71" s="233" t="n"/>
      <c r="W71" s="233" t="n"/>
      <c r="X71" s="233" t="n"/>
      <c r="Y71" s="233" t="n"/>
      <c r="Z71" s="233" t="n"/>
      <c r="AA71" s="233" t="n"/>
      <c r="AB71" s="233" t="n"/>
      <c r="AC71" s="233" t="n"/>
      <c r="AD71" s="233" t="n"/>
      <c r="AE71" s="233" t="n"/>
      <c r="AF71" s="233" t="n"/>
      <c r="AG71" s="233" t="n"/>
      <c r="AH71" s="233" t="n"/>
      <c r="AI71" s="233" t="n"/>
      <c r="AJ71" s="233" t="n"/>
      <c r="AK71" s="233" t="n"/>
      <c r="AL71" s="233" t="n"/>
      <c r="AM71" s="233" t="n"/>
      <c r="AN71" s="233" t="n"/>
      <c r="AO71" s="233" t="n"/>
      <c r="AP71" s="233" t="n"/>
      <c r="AQ71" s="233" t="n"/>
      <c r="AR71" s="233" t="n"/>
    </row>
    <row r="72" ht="18" customHeight="1" s="28">
      <c r="A72" s="233" t="n"/>
      <c r="B72" s="233" t="n"/>
      <c r="C72" s="233" t="n"/>
      <c r="D72" s="233" t="n"/>
      <c r="E72" s="233" t="n"/>
      <c r="F72" s="233" t="n"/>
      <c r="G72" s="233" t="n"/>
      <c r="H72" s="233" t="n"/>
      <c r="I72" s="233" t="n"/>
      <c r="J72" s="233" t="n"/>
      <c r="K72" s="233" t="n"/>
      <c r="L72" s="233" t="n"/>
      <c r="M72" s="233" t="n"/>
      <c r="N72" s="233" t="n"/>
      <c r="O72" s="233" t="n"/>
      <c r="P72" s="233" t="n"/>
      <c r="Q72" s="233" t="n"/>
      <c r="R72" s="233" t="n"/>
      <c r="S72" s="233" t="n"/>
      <c r="T72" s="233" t="n"/>
      <c r="U72" s="233" t="n"/>
      <c r="V72" s="233" t="n"/>
      <c r="W72" s="233" t="n"/>
      <c r="X72" s="233" t="n"/>
      <c r="Y72" s="233" t="n"/>
      <c r="Z72" s="233" t="n"/>
      <c r="AA72" s="233" t="n"/>
      <c r="AB72" s="233" t="n"/>
      <c r="AC72" s="233" t="n"/>
      <c r="AD72" s="233" t="n"/>
      <c r="AE72" s="233" t="n"/>
      <c r="AF72" s="233" t="n"/>
      <c r="AG72" s="233" t="n"/>
      <c r="AH72" s="233" t="n"/>
      <c r="AI72" s="233" t="n"/>
      <c r="AJ72" s="233" t="n"/>
      <c r="AK72" s="233" t="n"/>
      <c r="AL72" s="233" t="n"/>
      <c r="AM72" s="233" t="n"/>
      <c r="AN72" s="233" t="n"/>
      <c r="AO72" s="233" t="n"/>
      <c r="AP72" s="233" t="n"/>
      <c r="AQ72" s="233" t="n"/>
      <c r="AR72" s="233" t="n"/>
    </row>
    <row r="73" ht="18" customHeight="1" s="28">
      <c r="A73" s="233" t="n"/>
      <c r="B73" s="233" t="n"/>
      <c r="C73" s="233" t="n"/>
      <c r="D73" s="233" t="n"/>
      <c r="E73" s="233" t="n"/>
      <c r="F73" s="233" t="n"/>
      <c r="G73" s="233" t="n"/>
      <c r="H73" s="233" t="n"/>
      <c r="I73" s="233" t="n"/>
      <c r="J73" s="233" t="n"/>
      <c r="K73" s="233" t="n"/>
      <c r="L73" s="233" t="n"/>
      <c r="M73" s="233" t="n"/>
      <c r="N73" s="233" t="n"/>
      <c r="O73" s="233" t="n"/>
      <c r="P73" s="233" t="n"/>
      <c r="Q73" s="233" t="n"/>
      <c r="R73" s="233" t="n"/>
      <c r="S73" s="233" t="n"/>
      <c r="T73" s="233" t="n"/>
      <c r="U73" s="233" t="n"/>
      <c r="V73" s="233" t="n"/>
      <c r="W73" s="233" t="n"/>
      <c r="X73" s="233" t="n"/>
      <c r="Y73" s="233" t="n"/>
      <c r="Z73" s="233" t="n"/>
      <c r="AA73" s="233" t="n"/>
      <c r="AB73" s="233" t="n"/>
      <c r="AC73" s="233" t="n"/>
      <c r="AD73" s="233" t="n"/>
      <c r="AE73" s="233" t="n"/>
      <c r="AF73" s="233" t="n"/>
      <c r="AG73" s="233" t="n"/>
      <c r="AH73" s="233" t="n"/>
      <c r="AI73" s="233" t="n"/>
      <c r="AJ73" s="233" t="n"/>
      <c r="AK73" s="233" t="n"/>
      <c r="AL73" s="233" t="n"/>
      <c r="AM73" s="233" t="n"/>
      <c r="AN73" s="233" t="n"/>
      <c r="AO73" s="233" t="n"/>
      <c r="AP73" s="233" t="n"/>
      <c r="AQ73" s="233" t="n"/>
      <c r="AR73" s="233" t="n"/>
    </row>
    <row r="74" ht="18" customHeight="1" s="28">
      <c r="A74" s="233" t="n"/>
      <c r="B74" s="233" t="n"/>
      <c r="C74" s="233" t="n"/>
      <c r="D74" s="233" t="n"/>
      <c r="E74" s="233" t="n"/>
      <c r="F74" s="233" t="n"/>
      <c r="G74" s="233" t="n"/>
      <c r="H74" s="233" t="n"/>
      <c r="I74" s="233" t="n"/>
      <c r="J74" s="233" t="n"/>
      <c r="K74" s="233" t="n"/>
      <c r="L74" s="233" t="n"/>
      <c r="M74" s="233" t="n"/>
      <c r="N74" s="233" t="n"/>
      <c r="O74" s="233" t="n"/>
      <c r="P74" s="233" t="n"/>
      <c r="Q74" s="233" t="n"/>
      <c r="R74" s="233" t="n"/>
      <c r="S74" s="233" t="n"/>
      <c r="T74" s="233" t="n"/>
      <c r="U74" s="233" t="n"/>
      <c r="V74" s="233" t="n"/>
      <c r="W74" s="233" t="n"/>
      <c r="X74" s="233" t="n"/>
      <c r="Y74" s="233" t="n"/>
      <c r="Z74" s="233" t="n"/>
      <c r="AA74" s="233" t="n"/>
      <c r="AB74" s="233" t="n"/>
      <c r="AC74" s="233" t="n"/>
      <c r="AD74" s="233" t="n"/>
      <c r="AE74" s="233" t="n"/>
      <c r="AF74" s="233" t="n"/>
      <c r="AG74" s="233" t="n"/>
      <c r="AH74" s="233" t="n"/>
      <c r="AI74" s="233" t="n"/>
      <c r="AJ74" s="233" t="n"/>
      <c r="AK74" s="233" t="n"/>
      <c r="AL74" s="233" t="n"/>
      <c r="AM74" s="233" t="n"/>
      <c r="AN74" s="233" t="n"/>
      <c r="AO74" s="233" t="n"/>
      <c r="AP74" s="233" t="n"/>
      <c r="AQ74" s="233" t="n"/>
      <c r="AR74" s="233" t="n"/>
    </row>
    <row r="75" ht="18" customHeight="1" s="28">
      <c r="A75" s="233" t="n"/>
      <c r="B75" s="233" t="n"/>
      <c r="C75" s="233" t="n"/>
      <c r="D75" s="233" t="n"/>
      <c r="E75" s="233" t="n"/>
      <c r="F75" s="233" t="n"/>
      <c r="G75" s="233" t="n"/>
      <c r="H75" s="233" t="n"/>
      <c r="I75" s="233" t="n"/>
      <c r="J75" s="233" t="n"/>
      <c r="K75" s="233" t="n"/>
      <c r="L75" s="233" t="n"/>
      <c r="M75" s="233" t="n"/>
      <c r="N75" s="233" t="n"/>
      <c r="O75" s="233" t="n"/>
      <c r="P75" s="233" t="n"/>
      <c r="Q75" s="233" t="n"/>
      <c r="R75" s="233" t="n"/>
      <c r="S75" s="233" t="n"/>
      <c r="T75" s="233" t="n"/>
      <c r="U75" s="233" t="n"/>
      <c r="V75" s="233" t="n"/>
      <c r="W75" s="233" t="n"/>
      <c r="X75" s="233" t="n"/>
      <c r="Y75" s="233" t="n"/>
      <c r="Z75" s="233" t="n"/>
      <c r="AA75" s="233" t="n"/>
      <c r="AB75" s="233" t="n"/>
      <c r="AC75" s="233" t="n"/>
      <c r="AD75" s="233" t="n"/>
      <c r="AE75" s="233" t="n"/>
      <c r="AF75" s="233" t="n"/>
      <c r="AG75" s="233" t="n"/>
      <c r="AH75" s="233" t="n"/>
      <c r="AI75" s="233" t="n"/>
      <c r="AJ75" s="233" t="n"/>
      <c r="AK75" s="233" t="n"/>
      <c r="AL75" s="233" t="n"/>
      <c r="AM75" s="233" t="n"/>
      <c r="AN75" s="233" t="n"/>
      <c r="AO75" s="233" t="n"/>
      <c r="AP75" s="233" t="n"/>
      <c r="AQ75" s="233" t="n"/>
      <c r="AR75" s="233" t="n"/>
    </row>
    <row r="76" ht="18" customHeight="1" s="28">
      <c r="A76" s="233" t="n"/>
      <c r="B76" s="233" t="n"/>
      <c r="C76" s="233" t="n"/>
      <c r="D76" s="233" t="n"/>
      <c r="E76" s="233" t="n"/>
      <c r="F76" s="233" t="n"/>
      <c r="G76" s="233" t="n"/>
      <c r="H76" s="233" t="n"/>
      <c r="I76" s="233" t="n"/>
      <c r="J76" s="233" t="n"/>
      <c r="K76" s="233" t="n"/>
      <c r="L76" s="233" t="n"/>
      <c r="M76" s="233" t="n"/>
      <c r="N76" s="233" t="n"/>
      <c r="O76" s="233" t="n"/>
      <c r="P76" s="233" t="n"/>
      <c r="Q76" s="233" t="n"/>
      <c r="R76" s="233" t="n"/>
      <c r="S76" s="233" t="n"/>
      <c r="T76" s="233" t="n"/>
      <c r="U76" s="233" t="n"/>
      <c r="V76" s="233" t="n"/>
      <c r="W76" s="233" t="n"/>
      <c r="X76" s="233" t="n"/>
      <c r="Y76" s="233" t="n"/>
      <c r="Z76" s="233" t="n"/>
      <c r="AA76" s="233" t="n"/>
      <c r="AB76" s="233" t="n"/>
      <c r="AC76" s="233" t="n"/>
      <c r="AD76" s="233" t="n"/>
      <c r="AE76" s="233" t="n"/>
      <c r="AF76" s="233" t="n"/>
      <c r="AG76" s="233" t="n"/>
      <c r="AH76" s="233" t="n"/>
      <c r="AI76" s="233" t="n"/>
      <c r="AJ76" s="233" t="n"/>
      <c r="AK76" s="233" t="n"/>
      <c r="AL76" s="233" t="n"/>
      <c r="AM76" s="233" t="n"/>
      <c r="AN76" s="233" t="n"/>
      <c r="AO76" s="233" t="n"/>
      <c r="AP76" s="233" t="n"/>
      <c r="AQ76" s="233" t="n"/>
      <c r="AR76" s="233" t="n"/>
    </row>
    <row r="77" ht="18" customHeight="1" s="28">
      <c r="A77" s="233" t="n"/>
      <c r="B77" s="233" t="n"/>
      <c r="C77" s="233" t="n"/>
      <c r="D77" s="233" t="n"/>
      <c r="E77" s="233" t="n"/>
      <c r="F77" s="233" t="n"/>
      <c r="G77" s="233" t="n"/>
      <c r="H77" s="233" t="n"/>
      <c r="I77" s="233" t="n"/>
      <c r="J77" s="233" t="n"/>
      <c r="K77" s="233" t="n"/>
      <c r="L77" s="233" t="n"/>
      <c r="M77" s="233" t="n"/>
      <c r="N77" s="233" t="n"/>
      <c r="O77" s="233" t="n"/>
      <c r="P77" s="233" t="n"/>
      <c r="Q77" s="233" t="n"/>
      <c r="R77" s="233" t="n"/>
      <c r="S77" s="233" t="n"/>
      <c r="T77" s="233" t="n"/>
      <c r="U77" s="233" t="n"/>
      <c r="V77" s="233" t="n"/>
      <c r="W77" s="233" t="n"/>
      <c r="X77" s="233" t="n"/>
      <c r="Y77" s="233" t="n"/>
      <c r="Z77" s="233" t="n"/>
      <c r="AA77" s="233" t="n"/>
      <c r="AB77" s="233" t="n"/>
      <c r="AC77" s="233" t="n"/>
      <c r="AD77" s="233" t="n"/>
      <c r="AE77" s="233" t="n"/>
      <c r="AF77" s="233" t="n"/>
      <c r="AG77" s="233" t="n"/>
      <c r="AH77" s="233" t="n"/>
      <c r="AI77" s="233" t="n"/>
      <c r="AJ77" s="233" t="n"/>
      <c r="AK77" s="233" t="n"/>
      <c r="AL77" s="233" t="n"/>
      <c r="AM77" s="233" t="n"/>
      <c r="AN77" s="233" t="n"/>
      <c r="AO77" s="233" t="n"/>
      <c r="AP77" s="233" t="n"/>
      <c r="AQ77" s="233" t="n"/>
      <c r="AR77" s="233" t="n"/>
    </row>
    <row r="78" ht="18" customHeight="1" s="28">
      <c r="A78" s="233" t="n"/>
      <c r="B78" s="233" t="n"/>
      <c r="C78" s="233" t="n"/>
      <c r="D78" s="233" t="n"/>
      <c r="E78" s="233" t="n"/>
      <c r="F78" s="233" t="n"/>
      <c r="G78" s="233" t="n"/>
      <c r="H78" s="233" t="n"/>
      <c r="I78" s="233" t="n"/>
      <c r="J78" s="233" t="n"/>
      <c r="K78" s="233" t="n"/>
      <c r="L78" s="233" t="n"/>
      <c r="M78" s="233" t="n"/>
      <c r="N78" s="233" t="n"/>
      <c r="O78" s="233" t="n"/>
      <c r="P78" s="233" t="n"/>
      <c r="Q78" s="233" t="n"/>
      <c r="R78" s="233" t="n"/>
      <c r="S78" s="233" t="n"/>
      <c r="T78" s="233" t="n"/>
      <c r="U78" s="233" t="n"/>
      <c r="V78" s="233" t="n"/>
      <c r="W78" s="233" t="n"/>
      <c r="X78" s="233" t="n"/>
      <c r="Y78" s="233" t="n"/>
      <c r="Z78" s="233" t="n"/>
      <c r="AA78" s="233" t="n"/>
      <c r="AB78" s="233" t="n"/>
      <c r="AC78" s="233" t="n"/>
      <c r="AD78" s="233" t="n"/>
      <c r="AE78" s="233" t="n"/>
      <c r="AF78" s="233" t="n"/>
      <c r="AG78" s="233" t="n"/>
      <c r="AH78" s="233" t="n"/>
      <c r="AI78" s="233" t="n"/>
      <c r="AJ78" s="233" t="n"/>
      <c r="AK78" s="233" t="n"/>
      <c r="AL78" s="233" t="n"/>
      <c r="AM78" s="233" t="n"/>
      <c r="AN78" s="233" t="n"/>
      <c r="AO78" s="233" t="n"/>
      <c r="AP78" s="233" t="n"/>
      <c r="AQ78" s="233" t="n"/>
      <c r="AR78" s="233" t="n"/>
    </row>
    <row r="79" ht="18" customHeight="1" s="28">
      <c r="A79" s="233" t="n"/>
      <c r="B79" s="233" t="n"/>
      <c r="C79" s="233" t="n"/>
      <c r="D79" s="233" t="n"/>
      <c r="E79" s="233" t="n"/>
      <c r="F79" s="233" t="n"/>
      <c r="G79" s="233" t="n"/>
      <c r="H79" s="233" t="n"/>
      <c r="I79" s="233" t="n"/>
      <c r="J79" s="233" t="n"/>
      <c r="K79" s="233" t="n"/>
      <c r="L79" s="233" t="n"/>
      <c r="M79" s="233" t="n"/>
      <c r="N79" s="233" t="n"/>
      <c r="O79" s="233" t="n"/>
      <c r="P79" s="233" t="n"/>
      <c r="Q79" s="233" t="n"/>
      <c r="R79" s="233" t="n"/>
      <c r="S79" s="233" t="n"/>
      <c r="T79" s="233" t="n"/>
      <c r="U79" s="233" t="n"/>
      <c r="V79" s="233" t="n"/>
      <c r="W79" s="233" t="n"/>
      <c r="X79" s="233" t="n"/>
      <c r="Y79" s="233" t="n"/>
      <c r="Z79" s="233" t="n"/>
      <c r="AA79" s="233" t="n"/>
      <c r="AB79" s="233" t="n"/>
      <c r="AC79" s="233" t="n"/>
      <c r="AD79" s="233" t="n"/>
      <c r="AE79" s="233" t="n"/>
      <c r="AF79" s="233" t="n"/>
      <c r="AG79" s="233" t="n"/>
      <c r="AH79" s="233" t="n"/>
      <c r="AI79" s="233" t="n"/>
      <c r="AJ79" s="233" t="n"/>
      <c r="AK79" s="233" t="n"/>
      <c r="AL79" s="233" t="n"/>
      <c r="AM79" s="233" t="n"/>
      <c r="AN79" s="233" t="n"/>
      <c r="AO79" s="233" t="n"/>
      <c r="AP79" s="233" t="n"/>
      <c r="AQ79" s="233" t="n"/>
      <c r="AR79" s="233" t="n"/>
    </row>
    <row r="80" ht="18" customHeight="1" s="28">
      <c r="A80" s="233" t="n"/>
      <c r="B80" s="233" t="n"/>
      <c r="C80" s="233" t="n"/>
      <c r="D80" s="233" t="n"/>
      <c r="E80" s="233" t="n"/>
      <c r="F80" s="233" t="n"/>
      <c r="G80" s="233" t="n"/>
      <c r="H80" s="233" t="n"/>
      <c r="I80" s="233" t="n"/>
      <c r="J80" s="233" t="n"/>
      <c r="K80" s="233" t="n"/>
      <c r="L80" s="233" t="n"/>
      <c r="M80" s="233" t="n"/>
      <c r="N80" s="233" t="n"/>
      <c r="O80" s="233" t="n"/>
      <c r="P80" s="233" t="n"/>
      <c r="Q80" s="233" t="n"/>
      <c r="R80" s="233" t="n"/>
      <c r="S80" s="233" t="n"/>
      <c r="T80" s="233" t="n"/>
      <c r="U80" s="233" t="n"/>
      <c r="V80" s="233" t="n"/>
      <c r="W80" s="233" t="n"/>
      <c r="X80" s="233" t="n"/>
      <c r="Y80" s="233" t="n"/>
      <c r="Z80" s="233" t="n"/>
      <c r="AA80" s="233" t="n"/>
      <c r="AB80" s="233" t="n"/>
      <c r="AC80" s="233" t="n"/>
      <c r="AD80" s="233" t="n"/>
      <c r="AE80" s="233" t="n"/>
      <c r="AF80" s="233" t="n"/>
      <c r="AG80" s="233" t="n"/>
      <c r="AH80" s="233" t="n"/>
      <c r="AI80" s="233" t="n"/>
      <c r="AJ80" s="233" t="n"/>
      <c r="AK80" s="233" t="n"/>
      <c r="AL80" s="233" t="n"/>
      <c r="AM80" s="233" t="n"/>
      <c r="AN80" s="233" t="n"/>
      <c r="AO80" s="233" t="n"/>
      <c r="AP80" s="233" t="n"/>
      <c r="AQ80" s="233" t="n"/>
      <c r="AR80" s="233" t="n"/>
    </row>
    <row r="81" ht="18" customHeight="1" s="28">
      <c r="A81" s="233" t="n"/>
      <c r="B81" s="233" t="n"/>
      <c r="C81" s="233" t="n"/>
      <c r="D81" s="233" t="n"/>
      <c r="E81" s="233" t="n"/>
      <c r="F81" s="233" t="n"/>
      <c r="G81" s="233" t="n"/>
      <c r="H81" s="233" t="n"/>
      <c r="I81" s="233" t="n"/>
      <c r="J81" s="233" t="n"/>
      <c r="K81" s="233" t="n"/>
      <c r="L81" s="233" t="n"/>
      <c r="M81" s="233" t="n"/>
      <c r="N81" s="233" t="n"/>
      <c r="O81" s="233" t="n"/>
      <c r="P81" s="233" t="n"/>
      <c r="Q81" s="233" t="n"/>
      <c r="R81" s="233" t="n"/>
      <c r="S81" s="233" t="n"/>
      <c r="T81" s="233" t="n"/>
      <c r="U81" s="233" t="n"/>
      <c r="V81" s="233" t="n"/>
      <c r="W81" s="233" t="n"/>
      <c r="X81" s="233" t="n"/>
      <c r="Y81" s="233" t="n"/>
      <c r="Z81" s="233" t="n"/>
      <c r="AA81" s="233" t="n"/>
      <c r="AB81" s="233" t="n"/>
      <c r="AC81" s="233" t="n"/>
      <c r="AD81" s="233" t="n"/>
      <c r="AE81" s="233" t="n"/>
      <c r="AF81" s="233" t="n"/>
      <c r="AG81" s="233" t="n"/>
      <c r="AH81" s="233" t="n"/>
      <c r="AI81" s="233" t="n"/>
      <c r="AJ81" s="233" t="n"/>
      <c r="AK81" s="233" t="n"/>
      <c r="AL81" s="233" t="n"/>
      <c r="AM81" s="233" t="n"/>
      <c r="AN81" s="233" t="n"/>
      <c r="AO81" s="233" t="n"/>
      <c r="AP81" s="233" t="n"/>
      <c r="AQ81" s="233" t="n"/>
      <c r="AR81" s="233" t="n"/>
    </row>
    <row r="82" ht="18" customHeight="1" s="28">
      <c r="A82" s="233" t="n"/>
      <c r="B82" s="233" t="n"/>
      <c r="C82" s="233" t="n"/>
      <c r="D82" s="233" t="n"/>
      <c r="E82" s="233" t="n"/>
      <c r="F82" s="233" t="n"/>
      <c r="G82" s="233" t="n"/>
      <c r="H82" s="233" t="n"/>
      <c r="I82" s="233" t="n"/>
      <c r="J82" s="233" t="n"/>
      <c r="K82" s="233" t="n"/>
      <c r="L82" s="233" t="n"/>
      <c r="M82" s="233" t="n"/>
      <c r="N82" s="233" t="n"/>
      <c r="O82" s="233" t="n"/>
      <c r="P82" s="233" t="n"/>
      <c r="Q82" s="233" t="n"/>
      <c r="R82" s="233" t="n"/>
      <c r="S82" s="233" t="n"/>
      <c r="T82" s="233" t="n"/>
      <c r="U82" s="233" t="n"/>
      <c r="V82" s="233" t="n"/>
      <c r="W82" s="233" t="n"/>
      <c r="X82" s="233" t="n"/>
      <c r="Y82" s="233" t="n"/>
      <c r="Z82" s="233" t="n"/>
      <c r="AA82" s="233" t="n"/>
      <c r="AB82" s="233" t="n"/>
      <c r="AC82" s="233" t="n"/>
      <c r="AD82" s="233" t="n"/>
      <c r="AE82" s="233" t="n"/>
      <c r="AF82" s="233" t="n"/>
      <c r="AG82" s="233" t="n"/>
      <c r="AH82" s="233" t="n"/>
      <c r="AI82" s="233" t="n"/>
      <c r="AJ82" s="233" t="n"/>
      <c r="AK82" s="233" t="n"/>
      <c r="AL82" s="233" t="n"/>
      <c r="AM82" s="233" t="n"/>
      <c r="AN82" s="233" t="n"/>
      <c r="AO82" s="233" t="n"/>
      <c r="AP82" s="233" t="n"/>
      <c r="AQ82" s="233" t="n"/>
      <c r="AR82" s="233" t="n"/>
    </row>
    <row r="83" ht="18" customHeight="1" s="28">
      <c r="A83" s="233" t="n"/>
      <c r="B83" s="233" t="n"/>
      <c r="C83" s="233" t="n"/>
      <c r="D83" s="233" t="n"/>
      <c r="E83" s="233" t="n"/>
      <c r="F83" s="233" t="n"/>
      <c r="G83" s="233" t="n"/>
      <c r="H83" s="233" t="n"/>
      <c r="I83" s="233" t="n"/>
      <c r="J83" s="233" t="n"/>
      <c r="K83" s="233" t="n"/>
      <c r="L83" s="233" t="n"/>
      <c r="M83" s="233" t="n"/>
      <c r="N83" s="233" t="n"/>
      <c r="O83" s="233" t="n"/>
      <c r="P83" s="233" t="n"/>
      <c r="Q83" s="233" t="n"/>
      <c r="R83" s="233" t="n"/>
      <c r="S83" s="233" t="n"/>
      <c r="T83" s="233" t="n"/>
      <c r="U83" s="233" t="n"/>
      <c r="V83" s="233" t="n"/>
      <c r="W83" s="233" t="n"/>
      <c r="X83" s="233" t="n"/>
      <c r="Y83" s="233" t="n"/>
      <c r="Z83" s="233" t="n"/>
      <c r="AA83" s="233" t="n"/>
      <c r="AB83" s="233" t="n"/>
      <c r="AC83" s="233" t="n"/>
      <c r="AD83" s="233" t="n"/>
      <c r="AE83" s="233" t="n"/>
      <c r="AF83" s="233" t="n"/>
      <c r="AG83" s="233" t="n"/>
      <c r="AH83" s="233" t="n"/>
      <c r="AI83" s="233" t="n"/>
      <c r="AJ83" s="233" t="n"/>
      <c r="AK83" s="233" t="n"/>
      <c r="AL83" s="233" t="n"/>
      <c r="AM83" s="233" t="n"/>
      <c r="AN83" s="233" t="n"/>
      <c r="AO83" s="233" t="n"/>
      <c r="AP83" s="233" t="n"/>
      <c r="AQ83" s="233" t="n"/>
      <c r="AR83" s="233" t="n"/>
    </row>
    <row r="84" ht="18" customHeight="1" s="28">
      <c r="A84" s="233" t="n"/>
      <c r="B84" s="233" t="n"/>
      <c r="C84" s="233" t="n"/>
      <c r="D84" s="233" t="n"/>
      <c r="E84" s="233" t="n"/>
      <c r="F84" s="233" t="n"/>
      <c r="G84" s="233" t="n"/>
      <c r="H84" s="233" t="n"/>
      <c r="I84" s="233" t="n"/>
      <c r="J84" s="233" t="n"/>
      <c r="K84" s="233" t="n"/>
      <c r="L84" s="233" t="n"/>
      <c r="M84" s="233" t="n"/>
      <c r="N84" s="233" t="n"/>
      <c r="O84" s="233" t="n"/>
      <c r="P84" s="233" t="n"/>
      <c r="Q84" s="233" t="n"/>
      <c r="R84" s="233" t="n"/>
      <c r="S84" s="233" t="n"/>
      <c r="T84" s="233" t="n"/>
      <c r="U84" s="233" t="n"/>
      <c r="V84" s="233" t="n"/>
      <c r="W84" s="233" t="n"/>
      <c r="X84" s="233" t="n"/>
      <c r="Y84" s="233" t="n"/>
      <c r="Z84" s="233" t="n"/>
      <c r="AA84" s="233" t="n"/>
      <c r="AB84" s="233" t="n"/>
      <c r="AC84" s="233" t="n"/>
      <c r="AD84" s="233" t="n"/>
      <c r="AE84" s="233" t="n"/>
      <c r="AF84" s="233" t="n"/>
      <c r="AG84" s="233" t="n"/>
      <c r="AH84" s="233" t="n"/>
      <c r="AI84" s="233" t="n"/>
      <c r="AJ84" s="233" t="n"/>
      <c r="AK84" s="233" t="n"/>
      <c r="AL84" s="233" t="n"/>
      <c r="AM84" s="233" t="n"/>
      <c r="AN84" s="233" t="n"/>
      <c r="AO84" s="233" t="n"/>
      <c r="AP84" s="233" t="n"/>
      <c r="AQ84" s="233" t="n"/>
      <c r="AR84" s="233" t="n"/>
    </row>
    <row r="85" ht="18" customHeight="1" s="28">
      <c r="A85" s="233" t="n"/>
      <c r="B85" s="233" t="n"/>
      <c r="C85" s="233" t="n"/>
      <c r="D85" s="233" t="n"/>
      <c r="E85" s="233" t="n"/>
      <c r="F85" s="233" t="n"/>
      <c r="G85" s="233" t="n"/>
      <c r="H85" s="233" t="n"/>
      <c r="I85" s="233" t="n"/>
      <c r="J85" s="233" t="n"/>
      <c r="K85" s="233" t="n"/>
      <c r="L85" s="233" t="n"/>
      <c r="M85" s="233" t="n"/>
      <c r="N85" s="233" t="n"/>
      <c r="O85" s="233" t="n"/>
      <c r="P85" s="233" t="n"/>
      <c r="Q85" s="233" t="n"/>
      <c r="R85" s="233" t="n"/>
      <c r="S85" s="233" t="n"/>
      <c r="T85" s="233" t="n"/>
      <c r="U85" s="233" t="n"/>
      <c r="V85" s="233" t="n"/>
      <c r="W85" s="233" t="n"/>
      <c r="X85" s="233" t="n"/>
      <c r="Y85" s="233" t="n"/>
      <c r="Z85" s="233" t="n"/>
      <c r="AA85" s="233" t="n"/>
      <c r="AB85" s="233" t="n"/>
      <c r="AC85" s="233" t="n"/>
      <c r="AD85" s="233" t="n"/>
      <c r="AE85" s="233" t="n"/>
      <c r="AF85" s="233" t="n"/>
      <c r="AG85" s="233" t="n"/>
      <c r="AH85" s="233" t="n"/>
      <c r="AI85" s="233" t="n"/>
      <c r="AJ85" s="233" t="n"/>
      <c r="AK85" s="233" t="n"/>
      <c r="AL85" s="233" t="n"/>
      <c r="AM85" s="233" t="n"/>
      <c r="AN85" s="233" t="n"/>
      <c r="AO85" s="233" t="n"/>
      <c r="AP85" s="233" t="n"/>
      <c r="AQ85" s="233" t="n"/>
      <c r="AR85" s="233" t="n"/>
    </row>
    <row r="86" ht="18" customHeight="1" s="28">
      <c r="A86" s="233" t="n"/>
      <c r="B86" s="233" t="n"/>
      <c r="C86" s="233" t="n"/>
      <c r="D86" s="233" t="n"/>
      <c r="E86" s="233" t="n"/>
      <c r="F86" s="233" t="n"/>
      <c r="G86" s="233" t="n"/>
      <c r="H86" s="233" t="n"/>
      <c r="I86" s="233" t="n"/>
      <c r="J86" s="233" t="n"/>
      <c r="K86" s="233" t="n"/>
      <c r="L86" s="233" t="n"/>
      <c r="M86" s="233" t="n"/>
      <c r="N86" s="233" t="n"/>
      <c r="O86" s="233" t="n"/>
      <c r="P86" s="233" t="n"/>
      <c r="Q86" s="233" t="n"/>
      <c r="R86" s="233" t="n"/>
      <c r="S86" s="233" t="n"/>
      <c r="T86" s="233" t="n"/>
      <c r="U86" s="233" t="n"/>
      <c r="V86" s="233" t="n"/>
      <c r="W86" s="233" t="n"/>
      <c r="X86" s="233" t="n"/>
      <c r="Y86" s="233" t="n"/>
      <c r="Z86" s="233" t="n"/>
      <c r="AA86" s="233" t="n"/>
      <c r="AB86" s="233" t="n"/>
      <c r="AC86" s="233" t="n"/>
      <c r="AD86" s="233" t="n"/>
      <c r="AE86" s="233" t="n"/>
      <c r="AF86" s="233" t="n"/>
      <c r="AG86" s="233" t="n"/>
      <c r="AH86" s="233" t="n"/>
      <c r="AI86" s="233" t="n"/>
      <c r="AJ86" s="233" t="n"/>
      <c r="AK86" s="233" t="n"/>
      <c r="AL86" s="233" t="n"/>
      <c r="AM86" s="233" t="n"/>
      <c r="AN86" s="233" t="n"/>
      <c r="AO86" s="233" t="n"/>
      <c r="AP86" s="233" t="n"/>
      <c r="AQ86" s="233" t="n"/>
      <c r="AR86" s="233" t="n"/>
    </row>
    <row r="87" ht="18" customHeight="1" s="28">
      <c r="A87" s="233" t="n"/>
      <c r="B87" s="233" t="n"/>
      <c r="C87" s="233" t="n"/>
      <c r="D87" s="233" t="n"/>
      <c r="E87" s="233" t="n"/>
      <c r="F87" s="233" t="n"/>
      <c r="G87" s="233" t="n"/>
      <c r="H87" s="233" t="n"/>
      <c r="I87" s="233" t="n"/>
      <c r="J87" s="233" t="n"/>
      <c r="K87" s="233" t="n"/>
      <c r="L87" s="233" t="n"/>
      <c r="M87" s="233" t="n"/>
      <c r="N87" s="233" t="n"/>
      <c r="O87" s="233" t="n"/>
      <c r="P87" s="233" t="n"/>
      <c r="Q87" s="233" t="n"/>
      <c r="R87" s="233" t="n"/>
      <c r="S87" s="233" t="n"/>
      <c r="T87" s="233" t="n"/>
      <c r="U87" s="233" t="n"/>
      <c r="V87" s="233" t="n"/>
      <c r="W87" s="233" t="n"/>
      <c r="X87" s="233" t="n"/>
      <c r="Y87" s="233" t="n"/>
      <c r="Z87" s="233" t="n"/>
      <c r="AA87" s="233" t="n"/>
      <c r="AB87" s="233" t="n"/>
      <c r="AC87" s="233" t="n"/>
      <c r="AD87" s="233" t="n"/>
      <c r="AE87" s="233" t="n"/>
      <c r="AF87" s="233" t="n"/>
      <c r="AG87" s="233" t="n"/>
      <c r="AH87" s="233" t="n"/>
      <c r="AI87" s="233" t="n"/>
      <c r="AJ87" s="233" t="n"/>
      <c r="AK87" s="233" t="n"/>
      <c r="AL87" s="233" t="n"/>
      <c r="AM87" s="233" t="n"/>
      <c r="AN87" s="233" t="n"/>
      <c r="AO87" s="233" t="n"/>
      <c r="AP87" s="233" t="n"/>
      <c r="AQ87" s="233" t="n"/>
      <c r="AR87" s="233" t="n"/>
    </row>
    <row r="88" ht="18" customHeight="1" s="28">
      <c r="A88" s="233" t="n"/>
      <c r="B88" s="233" t="n"/>
      <c r="C88" s="233" t="n"/>
      <c r="D88" s="233" t="n"/>
      <c r="E88" s="233" t="n"/>
      <c r="F88" s="233" t="n"/>
      <c r="G88" s="233" t="n"/>
      <c r="H88" s="233" t="n"/>
      <c r="I88" s="233" t="n"/>
      <c r="J88" s="233" t="n"/>
      <c r="K88" s="233" t="n"/>
      <c r="L88" s="233" t="n"/>
      <c r="M88" s="233" t="n"/>
      <c r="N88" s="233" t="n"/>
      <c r="O88" s="233" t="n"/>
      <c r="P88" s="233" t="n"/>
      <c r="Q88" s="233" t="n"/>
      <c r="R88" s="233" t="n"/>
      <c r="S88" s="233" t="n"/>
      <c r="T88" s="233" t="n"/>
      <c r="U88" s="233" t="n"/>
      <c r="V88" s="233" t="n"/>
      <c r="W88" s="233" t="n"/>
      <c r="X88" s="233" t="n"/>
      <c r="Y88" s="233" t="n"/>
      <c r="Z88" s="233" t="n"/>
      <c r="AA88" s="233" t="n"/>
      <c r="AB88" s="233" t="n"/>
      <c r="AC88" s="233" t="n"/>
      <c r="AD88" s="233" t="n"/>
      <c r="AE88" s="233" t="n"/>
      <c r="AF88" s="233" t="n"/>
      <c r="AG88" s="233" t="n"/>
      <c r="AH88" s="233" t="n"/>
      <c r="AI88" s="233" t="n"/>
      <c r="AJ88" s="233" t="n"/>
      <c r="AK88" s="233" t="n"/>
      <c r="AL88" s="233" t="n"/>
      <c r="AM88" s="233" t="n"/>
      <c r="AN88" s="233" t="n"/>
      <c r="AO88" s="233" t="n"/>
      <c r="AP88" s="233" t="n"/>
      <c r="AQ88" s="233" t="n"/>
      <c r="AR88" s="233" t="n"/>
    </row>
    <row r="89" ht="18" customHeight="1" s="28">
      <c r="A89" s="233" t="n"/>
      <c r="B89" s="233" t="n"/>
      <c r="C89" s="233" t="n"/>
      <c r="D89" s="233" t="n"/>
      <c r="E89" s="233" t="n"/>
      <c r="F89" s="233" t="n"/>
      <c r="G89" s="233" t="n"/>
      <c r="H89" s="233" t="n"/>
      <c r="I89" s="233" t="n"/>
      <c r="J89" s="233" t="n"/>
      <c r="K89" s="233" t="n"/>
      <c r="L89" s="233" t="n"/>
      <c r="M89" s="233" t="n"/>
      <c r="N89" s="233" t="n"/>
      <c r="O89" s="233" t="n"/>
      <c r="P89" s="233" t="n"/>
      <c r="Q89" s="233" t="n"/>
      <c r="R89" s="233" t="n"/>
      <c r="S89" s="233" t="n"/>
      <c r="T89" s="233" t="n"/>
      <c r="U89" s="233" t="n"/>
      <c r="V89" s="233" t="n"/>
      <c r="W89" s="233" t="n"/>
      <c r="X89" s="233" t="n"/>
      <c r="Y89" s="233" t="n"/>
      <c r="Z89" s="233" t="n"/>
      <c r="AA89" s="233" t="n"/>
      <c r="AB89" s="233" t="n"/>
      <c r="AC89" s="233" t="n"/>
      <c r="AD89" s="233" t="n"/>
      <c r="AE89" s="233" t="n"/>
      <c r="AF89" s="233" t="n"/>
      <c r="AG89" s="233" t="n"/>
      <c r="AH89" s="233" t="n"/>
      <c r="AI89" s="233" t="n"/>
      <c r="AJ89" s="233" t="n"/>
      <c r="AK89" s="233" t="n"/>
      <c r="AL89" s="233" t="n"/>
      <c r="AM89" s="233" t="n"/>
      <c r="AN89" s="233" t="n"/>
      <c r="AO89" s="233" t="n"/>
      <c r="AP89" s="233" t="n"/>
      <c r="AQ89" s="233" t="n"/>
      <c r="AR89" s="233" t="n"/>
    </row>
    <row r="90" ht="18" customHeight="1" s="28">
      <c r="A90" s="233" t="n"/>
      <c r="B90" s="233" t="n"/>
      <c r="C90" s="233" t="n"/>
      <c r="D90" s="233" t="n"/>
      <c r="E90" s="233" t="n"/>
      <c r="F90" s="233" t="n"/>
      <c r="G90" s="233" t="n"/>
      <c r="H90" s="233" t="n"/>
      <c r="I90" s="233" t="n"/>
      <c r="J90" s="233" t="n"/>
      <c r="K90" s="233" t="n"/>
      <c r="L90" s="233" t="n"/>
      <c r="M90" s="233" t="n"/>
      <c r="N90" s="233" t="n"/>
      <c r="O90" s="233" t="n"/>
      <c r="P90" s="233" t="n"/>
      <c r="Q90" s="233" t="n"/>
      <c r="R90" s="233" t="n"/>
      <c r="S90" s="233" t="n"/>
      <c r="T90" s="233" t="n"/>
      <c r="U90" s="233" t="n"/>
      <c r="V90" s="233" t="n"/>
      <c r="W90" s="233" t="n"/>
      <c r="X90" s="233" t="n"/>
      <c r="Y90" s="233" t="n"/>
      <c r="Z90" s="233" t="n"/>
      <c r="AA90" s="233" t="n"/>
      <c r="AB90" s="233" t="n"/>
      <c r="AC90" s="233" t="n"/>
      <c r="AD90" s="233" t="n"/>
      <c r="AE90" s="233" t="n"/>
      <c r="AF90" s="233" t="n"/>
      <c r="AG90" s="233" t="n"/>
      <c r="AH90" s="233" t="n"/>
      <c r="AI90" s="233" t="n"/>
      <c r="AJ90" s="233" t="n"/>
      <c r="AK90" s="233" t="n"/>
      <c r="AL90" s="233" t="n"/>
      <c r="AM90" s="233" t="n"/>
      <c r="AN90" s="233" t="n"/>
      <c r="AO90" s="233" t="n"/>
      <c r="AP90" s="233" t="n"/>
      <c r="AQ90" s="233" t="n"/>
      <c r="AR90" s="233" t="n"/>
    </row>
  </sheetData>
  <mergeCells count="4">
    <mergeCell ref="O2:V2"/>
    <mergeCell ref="A1:E1"/>
    <mergeCell ref="A1:V1"/>
    <mergeCell ref="C20:E24"/>
  </mergeCells>
  <conditionalFormatting sqref="D3:E18">
    <cfRule type="expression" priority="1" dxfId="34">
      <formula>D3&lt;&gt;""</formula>
    </cfRule>
  </conditionalFormatting>
  <dataValidations count="1">
    <dataValidation sqref="D3:E18" showDropDown="0" showInputMessage="0" showErrorMessage="0" allowBlank="0" type="list">
      <formula1>Setup!$A$3:$A$50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cols>
    <col width="12" customWidth="1" style="28" min="1" max="1"/>
    <col width="12" customWidth="1" style="28" min="2" max="2"/>
    <col width="5" customWidth="1" style="28" min="3" max="3"/>
    <col width="10" customWidth="1" style="28" min="4" max="4"/>
    <col width="9" customWidth="1" style="28" min="5" max="5"/>
    <col width="12" customWidth="1" style="28" min="6" max="6"/>
    <col width="12" customWidth="1" style="28" min="7" max="7"/>
    <col width="5" customWidth="1" style="28" min="8" max="8"/>
    <col width="10" customWidth="1" style="28" min="9" max="9"/>
    <col width="9" customWidth="1" style="28" min="10" max="10"/>
    <col width="12" customWidth="1" style="28" min="11" max="11"/>
    <col width="12" customWidth="1" style="28" min="12" max="12"/>
    <col width="5" customWidth="1" style="28" min="13" max="13"/>
    <col width="10" customWidth="1" style="28" min="14" max="14"/>
    <col width="9" customWidth="1" style="28" min="15" max="15"/>
    <col width="12" customWidth="1" style="28" min="16" max="16"/>
    <col width="12" customWidth="1" style="28" min="17" max="17"/>
    <col width="5" customWidth="1" style="28" min="18" max="18"/>
    <col width="10" customWidth="1" style="28" min="19" max="19"/>
    <col width="9" customWidth="1" style="28" min="20" max="20"/>
    <col width="12" customWidth="1" style="28" min="21" max="21"/>
    <col width="12" customWidth="1" style="28" min="22" max="22"/>
    <col width="5" customWidth="1" style="28" min="23" max="23"/>
    <col width="10" customWidth="1" style="28" min="24" max="24"/>
    <col width="9" customWidth="1" style="28" min="25" max="25"/>
    <col width="12" customWidth="1" style="28" min="26" max="26"/>
    <col width="12" customWidth="1" style="28" min="27" max="27"/>
    <col width="5" customWidth="1" style="28" min="28" max="28"/>
    <col width="10" customWidth="1" style="28" min="29" max="29"/>
    <col width="9" customWidth="1" style="28" min="30" max="30"/>
    <col width="12" customWidth="1" style="28" min="31" max="31"/>
    <col width="12" customWidth="1" style="28" min="32" max="32"/>
    <col width="5" customWidth="1" style="28" min="33" max="33"/>
    <col width="10" customWidth="1" style="28" min="34" max="34"/>
    <col width="9" customWidth="1" style="28" min="35" max="35"/>
    <col width="12" customWidth="1" style="28" min="36" max="36"/>
    <col width="12" customWidth="1" style="28" min="37" max="37"/>
    <col width="5" customWidth="1" style="28" min="38" max="38"/>
    <col width="10" customWidth="1" style="28" min="39" max="39"/>
    <col width="9" customWidth="1" style="28" min="40" max="40"/>
    <col width="12" customWidth="1" style="28" min="41" max="41"/>
    <col width="12" customWidth="1" style="28" min="42" max="42"/>
    <col width="5" customWidth="1" style="28" min="43" max="43"/>
    <col width="10" customWidth="1" style="28" min="44" max="44"/>
  </cols>
  <sheetData>
    <row r="1" ht="30" customHeight="1" s="28">
      <c r="A1" s="9" t="inlineStr">
        <is>
          <t>FIFA 2026 Tournament Progress Map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 ht="22" customHeight="1" s="28">
      <c r="A2" s="403" t="inlineStr">
        <is>
          <t>Teams and results are driven from Match Results. Yellow score/pick cells still let you override winners manually.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 ht="18" customHeight="1" s="28">
      <c r="A3" s="233" t="n"/>
      <c r="B3" s="233" t="n"/>
      <c r="C3" s="233" t="n"/>
      <c r="D3" s="233" t="n"/>
      <c r="E3" s="233" t="n"/>
      <c r="F3" s="233" t="n"/>
      <c r="G3" s="233" t="n"/>
      <c r="H3" s="233" t="n"/>
      <c r="I3" s="233" t="n"/>
      <c r="J3" s="233" t="n"/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3" t="n"/>
      <c r="V3" s="233" t="n"/>
      <c r="W3" s="233" t="n"/>
      <c r="X3" s="233" t="n"/>
      <c r="Y3" s="233" t="n"/>
      <c r="Z3" s="233" t="n"/>
      <c r="AA3" s="233" t="n"/>
      <c r="AB3" s="233" t="n"/>
      <c r="AC3" s="233" t="n"/>
      <c r="AD3" s="233" t="n"/>
      <c r="AE3" s="233" t="n"/>
      <c r="AF3" s="233" t="n"/>
      <c r="AG3" s="233" t="n"/>
      <c r="AH3" s="233" t="n"/>
      <c r="AI3" s="233" t="n"/>
      <c r="AJ3" s="233" t="n"/>
      <c r="AK3" s="233" t="n"/>
      <c r="AL3" s="233" t="n"/>
      <c r="AM3" s="233" t="n"/>
      <c r="AN3" s="233" t="n"/>
      <c r="AO3" s="233" t="n"/>
      <c r="AP3" s="233" t="n"/>
      <c r="AQ3" s="233" t="n"/>
      <c r="AR3" s="233" t="n"/>
    </row>
    <row r="4" ht="18" customHeight="1" s="28">
      <c r="A4" s="404" t="inlineStr">
        <is>
          <t>Round of 32</t>
        </is>
      </c>
      <c r="B4" s="1" t="n"/>
      <c r="C4" s="1" t="n"/>
      <c r="D4" s="1" t="n"/>
      <c r="E4" s="233" t="n"/>
      <c r="F4" s="404" t="inlineStr">
        <is>
          <t>Round of 16</t>
        </is>
      </c>
      <c r="G4" s="1" t="n"/>
      <c r="H4" s="1" t="n"/>
      <c r="I4" s="1" t="n"/>
      <c r="J4" s="233" t="n"/>
      <c r="K4" s="404" t="inlineStr">
        <is>
          <t>Quarterfinals</t>
        </is>
      </c>
      <c r="L4" s="1" t="n"/>
      <c r="M4" s="1" t="n"/>
      <c r="N4" s="1" t="n"/>
      <c r="O4" s="233" t="n"/>
      <c r="P4" s="233" t="n"/>
      <c r="Q4" s="233" t="n"/>
      <c r="R4" s="233" t="n"/>
      <c r="S4" s="233" t="n"/>
      <c r="T4" s="233" t="n"/>
      <c r="U4" s="405" t="inlineStr">
        <is>
          <t>CHAMPION</t>
        </is>
      </c>
      <c r="V4" s="1" t="n"/>
      <c r="W4" s="1" t="n"/>
      <c r="X4" s="1" t="n"/>
      <c r="Y4" s="233" t="n"/>
      <c r="Z4" s="233" t="n"/>
      <c r="AA4" s="233" t="n"/>
      <c r="AB4" s="233" t="n"/>
      <c r="AC4" s="233" t="n"/>
      <c r="AD4" s="233" t="n"/>
      <c r="AE4" s="404" t="inlineStr">
        <is>
          <t>Quarterfinals</t>
        </is>
      </c>
      <c r="AF4" s="1" t="n"/>
      <c r="AG4" s="1" t="n"/>
      <c r="AH4" s="1" t="n"/>
      <c r="AI4" s="233" t="n"/>
      <c r="AJ4" s="404" t="inlineStr">
        <is>
          <t>Round of 16</t>
        </is>
      </c>
      <c r="AK4" s="1" t="n"/>
      <c r="AL4" s="1" t="n"/>
      <c r="AM4" s="1" t="n"/>
      <c r="AN4" s="233" t="n"/>
      <c r="AO4" s="404" t="inlineStr">
        <is>
          <t>Round of 32</t>
        </is>
      </c>
      <c r="AP4" s="1" t="n"/>
      <c r="AQ4" s="1" t="n"/>
      <c r="AR4" s="1" t="n"/>
    </row>
    <row r="5" ht="18" customHeight="1" s="28">
      <c r="A5" s="233" t="n"/>
      <c r="B5" s="233" t="n"/>
      <c r="C5" s="233" t="n"/>
      <c r="D5" s="233" t="n"/>
      <c r="E5" s="233" t="n"/>
      <c r="F5" s="233" t="n"/>
      <c r="G5" s="233" t="n"/>
      <c r="H5" s="233" t="n"/>
      <c r="I5" s="233" t="n"/>
      <c r="J5" s="233" t="n"/>
      <c r="K5" s="233" t="n"/>
      <c r="L5" s="233" t="n"/>
      <c r="M5" s="233" t="n"/>
      <c r="N5" s="233" t="n"/>
      <c r="O5" s="233" t="n"/>
      <c r="P5" s="233" t="n"/>
      <c r="Q5" s="233" t="n"/>
      <c r="R5" s="233" t="n"/>
      <c r="S5" s="233" t="n"/>
      <c r="T5" s="233" t="n"/>
      <c r="U5" s="118">
        <f>IF(V30&lt;&gt;"",V30,"TBD")</f>
        <v/>
      </c>
      <c r="V5" s="1" t="n"/>
      <c r="W5" s="1" t="n"/>
      <c r="X5" s="1" t="n"/>
      <c r="Y5" s="233" t="n"/>
      <c r="Z5" s="233" t="n"/>
      <c r="AA5" s="233" t="n"/>
      <c r="AB5" s="233" t="n"/>
      <c r="AC5" s="233" t="n"/>
      <c r="AD5" s="233" t="n"/>
      <c r="AE5" s="233" t="n"/>
      <c r="AF5" s="233" t="n"/>
      <c r="AG5" s="233" t="n"/>
      <c r="AH5" s="233" t="n"/>
      <c r="AI5" s="233" t="n"/>
      <c r="AJ5" s="233" t="n"/>
      <c r="AK5" s="233" t="n"/>
      <c r="AL5" s="233" t="n"/>
      <c r="AM5" s="233" t="n"/>
      <c r="AN5" s="233" t="n"/>
      <c r="AO5" s="233" t="n"/>
      <c r="AP5" s="233" t="n"/>
      <c r="AQ5" s="233" t="n"/>
      <c r="AR5" s="233" t="n"/>
    </row>
    <row r="6" ht="18" customHeight="1" s="28">
      <c r="A6" s="160" t="inlineStr">
        <is>
          <t>M74 | Round of 32</t>
        </is>
      </c>
      <c r="B6" s="1" t="n"/>
      <c r="C6" s="1" t="n"/>
      <c r="D6" s="1" t="n"/>
      <c r="E6" s="233" t="n"/>
      <c r="F6" s="233" t="n"/>
      <c r="G6" s="233" t="n"/>
      <c r="H6" s="233" t="n"/>
      <c r="I6" s="233" t="n"/>
      <c r="J6" s="233" t="n"/>
      <c r="K6" s="233" t="n"/>
      <c r="L6" s="233" t="n"/>
      <c r="M6" s="233" t="n"/>
      <c r="N6" s="233" t="n"/>
      <c r="O6" s="233" t="n"/>
      <c r="P6" s="233" t="n"/>
      <c r="Q6" s="233" t="n"/>
      <c r="R6" s="233" t="n"/>
      <c r="S6" s="233" t="n"/>
      <c r="T6" s="233" t="n"/>
      <c r="U6" s="1" t="n"/>
      <c r="V6" s="1" t="n"/>
      <c r="W6" s="1" t="n"/>
      <c r="X6" s="1" t="n"/>
      <c r="Y6" s="233" t="n"/>
      <c r="Z6" s="233" t="n"/>
      <c r="AA6" s="233" t="n"/>
      <c r="AB6" s="233" t="n"/>
      <c r="AC6" s="233" t="n"/>
      <c r="AD6" s="233" t="n"/>
      <c r="AE6" s="233" t="n"/>
      <c r="AF6" s="233" t="n"/>
      <c r="AG6" s="233" t="n"/>
      <c r="AH6" s="233" t="n"/>
      <c r="AI6" s="233" t="n"/>
      <c r="AJ6" s="233" t="n"/>
      <c r="AK6" s="233" t="n"/>
      <c r="AL6" s="233" t="n"/>
      <c r="AM6" s="233" t="n"/>
      <c r="AN6" s="233" t="n"/>
      <c r="AO6" s="160" t="inlineStr">
        <is>
          <t>M76 | Round of 32</t>
        </is>
      </c>
      <c r="AP6" s="1" t="n"/>
      <c r="AQ6" s="1" t="n"/>
      <c r="AR6" s="1" t="n"/>
    </row>
    <row r="7" ht="18" customHeight="1" s="28">
      <c r="A7" s="170">
        <f>Setup!$D$3</f>
        <v/>
      </c>
      <c r="B7" s="1" t="n"/>
      <c r="C7" s="325">
        <f>IF('Knockout Pitch Map'!D6="","",'Knockout Pitch Map'!D6)</f>
        <v/>
      </c>
      <c r="D7" s="144" t="inlineStr">
        <is>
          <t>Pick</t>
        </is>
      </c>
      <c r="E7" s="233" t="n"/>
      <c r="F7" s="233" t="n"/>
      <c r="G7" s="233" t="n"/>
      <c r="H7" s="233" t="n"/>
      <c r="I7" s="233" t="n"/>
      <c r="J7" s="233" t="n"/>
      <c r="K7" s="233" t="n"/>
      <c r="L7" s="233" t="n"/>
      <c r="M7" s="233" t="n"/>
      <c r="N7" s="233" t="n"/>
      <c r="O7" s="233" t="n"/>
      <c r="P7" s="233" t="n"/>
      <c r="Q7" s="233" t="n"/>
      <c r="R7" s="233" t="n"/>
      <c r="S7" s="233" t="n"/>
      <c r="T7" s="233" t="n"/>
      <c r="U7" s="233" t="n"/>
      <c r="V7" s="233" t="n"/>
      <c r="W7" s="233" t="n"/>
      <c r="X7" s="233" t="n"/>
      <c r="Y7" s="233" t="n"/>
      <c r="Z7" s="233" t="n"/>
      <c r="AA7" s="233" t="n"/>
      <c r="AB7" s="233" t="n"/>
      <c r="AC7" s="233" t="n"/>
      <c r="AD7" s="233" t="n"/>
      <c r="AE7" s="233" t="n"/>
      <c r="AF7" s="233" t="n"/>
      <c r="AG7" s="233" t="n"/>
      <c r="AH7" s="233" t="n"/>
      <c r="AI7" s="233" t="n"/>
      <c r="AJ7" s="233" t="n"/>
      <c r="AK7" s="233" t="n"/>
      <c r="AL7" s="233" t="n"/>
      <c r="AM7" s="233" t="n"/>
      <c r="AN7" s="233" t="n"/>
      <c r="AO7" s="170">
        <f>Setup!$D$11</f>
        <v/>
      </c>
      <c r="AP7" s="1" t="n"/>
      <c r="AQ7" s="325">
        <f>IF('Knockout Pitch Map'!AR6="","",'Knockout Pitch Map'!AR6)</f>
        <v/>
      </c>
      <c r="AR7" s="144" t="inlineStr">
        <is>
          <t>Pick</t>
        </is>
      </c>
    </row>
    <row r="8" ht="18" customHeight="1" s="28">
      <c r="A8" s="170">
        <f>Setup!$E$3</f>
        <v/>
      </c>
      <c r="B8" s="1" t="n"/>
      <c r="C8" s="325">
        <f>IF('Knockout Pitch Map'!D7="","",'Knockout Pitch Map'!D7)</f>
        <v/>
      </c>
      <c r="D8" s="327">
        <f>IF('Knockout Pitch Map'!B8="","",'Knockout Pitch Map'!B8)</f>
        <v/>
      </c>
      <c r="E8" s="233" t="n"/>
      <c r="F8" s="233" t="n"/>
      <c r="G8" s="233" t="n"/>
      <c r="H8" s="233" t="n"/>
      <c r="I8" s="233" t="n"/>
      <c r="J8" s="233" t="n"/>
      <c r="K8" s="233" t="n"/>
      <c r="L8" s="233" t="n"/>
      <c r="M8" s="233" t="n"/>
      <c r="N8" s="233" t="n"/>
      <c r="O8" s="233" t="n"/>
      <c r="P8" s="233" t="n"/>
      <c r="Q8" s="233" t="n"/>
      <c r="R8" s="233" t="n"/>
      <c r="S8" s="233" t="n"/>
      <c r="T8" s="233" t="n"/>
      <c r="U8" s="406" t="inlineStr">
        <is>
          <t>PROGRESS</t>
        </is>
      </c>
      <c r="V8" s="1" t="n"/>
      <c r="W8" s="1" t="n"/>
      <c r="X8" s="1" t="n"/>
      <c r="Y8" s="233" t="n"/>
      <c r="Z8" s="233" t="n"/>
      <c r="AA8" s="233" t="n"/>
      <c r="AB8" s="233" t="n"/>
      <c r="AC8" s="233" t="n"/>
      <c r="AD8" s="233" t="n"/>
      <c r="AE8" s="233" t="n"/>
      <c r="AF8" s="233" t="n"/>
      <c r="AG8" s="233" t="n"/>
      <c r="AH8" s="233" t="n"/>
      <c r="AI8" s="233" t="n"/>
      <c r="AJ8" s="233" t="n"/>
      <c r="AK8" s="233" t="n"/>
      <c r="AL8" s="233" t="n"/>
      <c r="AM8" s="233" t="n"/>
      <c r="AN8" s="233" t="n"/>
      <c r="AO8" s="170">
        <f>Setup!$E$11</f>
        <v/>
      </c>
      <c r="AP8" s="1" t="n"/>
      <c r="AQ8" s="325">
        <f>IF('Knockout Pitch Map'!AR7="","",'Knockout Pitch Map'!AR7)</f>
        <v/>
      </c>
      <c r="AR8" s="327">
        <f>IF('Knockout Pitch Map'!AP8="","",'Knockout Pitch Map'!AP8)</f>
        <v/>
      </c>
    </row>
    <row r="9" ht="18" customHeight="1" s="28">
      <c r="A9" s="144" t="inlineStr">
        <is>
          <t>Winner</t>
        </is>
      </c>
      <c r="B9" s="78">
        <f>IF(D8&lt;&gt;"",D8,IF(AND(ISNUMBER(C7),ISNUMBER(C8),C7&lt;&gt;C8),IF(C7&gt;C8,A7,A8),""))</f>
        <v/>
      </c>
      <c r="C9" s="1" t="n"/>
      <c r="D9" s="1" t="n"/>
      <c r="E9" s="233" t="n"/>
      <c r="F9" s="160" t="inlineStr">
        <is>
          <t>M89 | Round of 16</t>
        </is>
      </c>
      <c r="G9" s="1" t="n"/>
      <c r="H9" s="1" t="n"/>
      <c r="I9" s="1" t="n"/>
      <c r="J9" s="233" t="n"/>
      <c r="K9" s="233" t="n"/>
      <c r="L9" s="233" t="n"/>
      <c r="M9" s="233" t="n"/>
      <c r="N9" s="233" t="n"/>
      <c r="O9" s="233" t="n"/>
      <c r="P9" s="233" t="n"/>
      <c r="Q9" s="233" t="n"/>
      <c r="R9" s="233" t="n"/>
      <c r="S9" s="233" t="n"/>
      <c r="T9" s="233" t="n"/>
      <c r="U9" s="407" t="inlineStr">
        <is>
          <t>Matches decided</t>
        </is>
      </c>
      <c r="V9" s="1" t="n"/>
      <c r="W9" s="407">
        <f>SUM(--(LEN(B9)&gt;0),--(LEN(B15)&gt;0),--(LEN(B21)&gt;0),--(LEN(B27)&gt;0),--(LEN(B33)&gt;0),--(LEN(B39)&gt;0),--(LEN(B45)&gt;0),--(LEN(B51)&gt;0),--(LEN(AP9)&gt;0),--(LEN(AP15)&gt;0),--(LEN(AP21)&gt;0),--(LEN(AP27)&gt;0),--(LEN(AP33)&gt;0),--(LEN(AP39)&gt;0),--(LEN(AP45)&gt;0),--(LEN(AP51)&gt;0),--(LEN(G12)&gt;0),--(LEN(G24)&gt;0),--(LEN(G36)&gt;0),--(LEN(G48)&gt;0),--(LEN(AK12)&gt;0),--(LEN(AK24)&gt;0),--(LEN(AK36)&gt;0),--(LEN(AK48)&gt;0),--(LEN(L18)&gt;0),--(LEN(L42)&gt;0),--(LEN(AF18)&gt;0),--(LEN(AF42)&gt;0),--(LEN(Q30)&gt;0),--(LEN(AA30)&gt;0),--(LEN(V30)&gt;0),--(LEN(V41)&gt;0))&amp;" / 32"</f>
        <v/>
      </c>
      <c r="X9" s="1" t="n"/>
      <c r="Y9" s="233" t="n"/>
      <c r="Z9" s="233" t="n"/>
      <c r="AA9" s="233" t="n"/>
      <c r="AB9" s="233" t="n"/>
      <c r="AC9" s="233" t="n"/>
      <c r="AD9" s="233" t="n"/>
      <c r="AE9" s="233" t="n"/>
      <c r="AF9" s="233" t="n"/>
      <c r="AG9" s="233" t="n"/>
      <c r="AH9" s="233" t="n"/>
      <c r="AI9" s="233" t="n"/>
      <c r="AJ9" s="160" t="inlineStr">
        <is>
          <t>M91 | Round of 16</t>
        </is>
      </c>
      <c r="AK9" s="1" t="n"/>
      <c r="AL9" s="1" t="n"/>
      <c r="AM9" s="1" t="n"/>
      <c r="AN9" s="233" t="n"/>
      <c r="AO9" s="144" t="inlineStr">
        <is>
          <t>Winner</t>
        </is>
      </c>
      <c r="AP9" s="78">
        <f>IF(AR8&lt;&gt;"",AR8,IF(AND(ISNUMBER(AQ7),ISNUMBER(AQ8),AQ7&lt;&gt;AQ8),IF(AQ7&gt;AQ8,AO7,AO8),""))</f>
        <v/>
      </c>
      <c r="AQ9" s="1" t="n"/>
      <c r="AR9" s="1" t="n"/>
    </row>
    <row r="10" ht="18" customHeight="1" s="28">
      <c r="A10" s="233" t="n"/>
      <c r="B10" s="233" t="n"/>
      <c r="C10" s="233" t="n"/>
      <c r="D10" s="233" t="n"/>
      <c r="E10" s="233" t="n"/>
      <c r="F10" s="170">
        <f>IF(OR(B9="",B9=0),"",B9)</f>
        <v/>
      </c>
      <c r="G10" s="1" t="n"/>
      <c r="H10" s="325">
        <f>IF('Knockout Pitch Map'!I9="","",'Knockout Pitch Map'!I9)</f>
        <v/>
      </c>
      <c r="I10" s="144" t="inlineStr">
        <is>
          <t>Pick</t>
        </is>
      </c>
      <c r="J10" s="233" t="n"/>
      <c r="K10" s="233" t="n"/>
      <c r="L10" s="233" t="n"/>
      <c r="M10" s="233" t="n"/>
      <c r="N10" s="233" t="n"/>
      <c r="O10" s="233" t="n"/>
      <c r="P10" s="233" t="n"/>
      <c r="Q10" s="233" t="n"/>
      <c r="R10" s="233" t="n"/>
      <c r="S10" s="233" t="n"/>
      <c r="T10" s="233" t="n"/>
      <c r="U10" s="407" t="inlineStr">
        <is>
          <t>Completion</t>
        </is>
      </c>
      <c r="V10" s="1" t="n"/>
      <c r="W10" s="408">
        <f>SUM(--(LEN(B9)&gt;0),--(LEN(B15)&gt;0),--(LEN(B21)&gt;0),--(LEN(B27)&gt;0),--(LEN(B33)&gt;0),--(LEN(B39)&gt;0),--(LEN(B45)&gt;0),--(LEN(B51)&gt;0),--(LEN(AP9)&gt;0),--(LEN(AP15)&gt;0),--(LEN(AP21)&gt;0),--(LEN(AP27)&gt;0),--(LEN(AP33)&gt;0),--(LEN(AP39)&gt;0),--(LEN(AP45)&gt;0),--(LEN(AP51)&gt;0),--(LEN(G12)&gt;0),--(LEN(G24)&gt;0),--(LEN(G36)&gt;0),--(LEN(G48)&gt;0),--(LEN(AK12)&gt;0),--(LEN(AK24)&gt;0),--(LEN(AK36)&gt;0),--(LEN(AK48)&gt;0),--(LEN(L18)&gt;0),--(LEN(L42)&gt;0),--(LEN(AF18)&gt;0),--(LEN(AF42)&gt;0),--(LEN(Q30)&gt;0),--(LEN(AA30)&gt;0),--(LEN(V30)&gt;0),--(LEN(V41)&gt;0))/32</f>
        <v/>
      </c>
      <c r="X10" s="1" t="n"/>
      <c r="Y10" s="233" t="n"/>
      <c r="Z10" s="233" t="n"/>
      <c r="AA10" s="233" t="n"/>
      <c r="AB10" s="233" t="n"/>
      <c r="AC10" s="233" t="n"/>
      <c r="AD10" s="233" t="n"/>
      <c r="AE10" s="233" t="n"/>
      <c r="AF10" s="233" t="n"/>
      <c r="AG10" s="233" t="n"/>
      <c r="AH10" s="233" t="n"/>
      <c r="AI10" s="233" t="n"/>
      <c r="AJ10" s="170">
        <f>IF(OR(AP9="",AP9=0),"",AP9)</f>
        <v/>
      </c>
      <c r="AK10" s="1" t="n"/>
      <c r="AL10" s="325">
        <f>IF('Knockout Pitch Map'!AM9="","",'Knockout Pitch Map'!AM9)</f>
        <v/>
      </c>
      <c r="AM10" s="144" t="inlineStr">
        <is>
          <t>Pick</t>
        </is>
      </c>
      <c r="AN10" s="233" t="n"/>
      <c r="AO10" s="233" t="n"/>
      <c r="AP10" s="233" t="n"/>
      <c r="AQ10" s="233" t="n"/>
      <c r="AR10" s="233" t="n"/>
    </row>
    <row r="11" ht="18" customHeight="1" s="28">
      <c r="A11" s="233" t="n"/>
      <c r="B11" s="233" t="n"/>
      <c r="C11" s="233" t="n"/>
      <c r="D11" s="233" t="n"/>
      <c r="E11" s="233" t="n"/>
      <c r="F11" s="170">
        <f>IF(OR(B15="",B15=0),"",B15)</f>
        <v/>
      </c>
      <c r="G11" s="1" t="n"/>
      <c r="H11" s="325">
        <f>IF('Knockout Pitch Map'!I10="","",'Knockout Pitch Map'!I10)</f>
        <v/>
      </c>
      <c r="I11" s="327">
        <f>IF('Knockout Pitch Map'!G11="","",'Knockout Pitch Map'!G11)</f>
        <v/>
      </c>
      <c r="J11" s="233" t="n"/>
      <c r="K11" s="233" t="n"/>
      <c r="L11" s="233" t="n"/>
      <c r="M11" s="233" t="n"/>
      <c r="N11" s="233" t="n"/>
      <c r="O11" s="233" t="n"/>
      <c r="P11" s="233" t="n"/>
      <c r="Q11" s="233" t="n"/>
      <c r="R11" s="233" t="n"/>
      <c r="S11" s="233" t="n"/>
      <c r="T11" s="233" t="n"/>
      <c r="U11" s="233" t="n"/>
      <c r="V11" s="233" t="n"/>
      <c r="W11" s="233" t="n"/>
      <c r="X11" s="233" t="n"/>
      <c r="Y11" s="233" t="n"/>
      <c r="Z11" s="233" t="n"/>
      <c r="AA11" s="233" t="n"/>
      <c r="AB11" s="233" t="n"/>
      <c r="AC11" s="233" t="n"/>
      <c r="AD11" s="233" t="n"/>
      <c r="AE11" s="233" t="n"/>
      <c r="AF11" s="233" t="n"/>
      <c r="AG11" s="233" t="n"/>
      <c r="AH11" s="233" t="n"/>
      <c r="AI11" s="233" t="n"/>
      <c r="AJ11" s="170">
        <f>IF(OR(AP15="",AP15=0),"",AP15)</f>
        <v/>
      </c>
      <c r="AK11" s="1" t="n"/>
      <c r="AL11" s="325">
        <f>IF('Knockout Pitch Map'!AM10="","",'Knockout Pitch Map'!AM10)</f>
        <v/>
      </c>
      <c r="AM11" s="327">
        <f>IF('Knockout Pitch Map'!AK11="","",'Knockout Pitch Map'!AK11)</f>
        <v/>
      </c>
      <c r="AN11" s="233" t="n"/>
      <c r="AO11" s="233" t="n"/>
      <c r="AP11" s="233" t="n"/>
      <c r="AQ11" s="233" t="n"/>
      <c r="AR11" s="233" t="n"/>
    </row>
    <row r="12" ht="18" customHeight="1" s="28">
      <c r="A12" s="160" t="inlineStr">
        <is>
          <t>M77 | Round of 32</t>
        </is>
      </c>
      <c r="B12" s="1" t="n"/>
      <c r="C12" s="1" t="n"/>
      <c r="D12" s="1" t="n"/>
      <c r="E12" s="233" t="n"/>
      <c r="F12" s="144" t="inlineStr">
        <is>
          <t>Winner</t>
        </is>
      </c>
      <c r="G12" s="78">
        <f>IF(I11&lt;&gt;"",I11,IF(AND(ISNUMBER(H10),ISNUMBER(H11),H10&lt;&gt;H11),IF(H10&gt;H11,F10,F11),""))</f>
        <v/>
      </c>
      <c r="H12" s="1" t="n"/>
      <c r="I12" s="1" t="n"/>
      <c r="J12" s="233" t="n"/>
      <c r="K12" s="233" t="n"/>
      <c r="L12" s="233" t="n"/>
      <c r="M12" s="233" t="n"/>
      <c r="N12" s="233" t="n"/>
      <c r="O12" s="233" t="n"/>
      <c r="P12" s="233" t="n"/>
      <c r="Q12" s="233" t="n"/>
      <c r="R12" s="233" t="n"/>
      <c r="S12" s="233" t="n"/>
      <c r="T12" s="233" t="n"/>
      <c r="U12" s="233" t="n"/>
      <c r="V12" s="233" t="n"/>
      <c r="W12" s="233" t="n"/>
      <c r="X12" s="233" t="n"/>
      <c r="Y12" s="233" t="n"/>
      <c r="Z12" s="233" t="n"/>
      <c r="AA12" s="233" t="n"/>
      <c r="AB12" s="233" t="n"/>
      <c r="AC12" s="233" t="n"/>
      <c r="AD12" s="233" t="n"/>
      <c r="AE12" s="233" t="n"/>
      <c r="AF12" s="233" t="n"/>
      <c r="AG12" s="233" t="n"/>
      <c r="AH12" s="233" t="n"/>
      <c r="AI12" s="233" t="n"/>
      <c r="AJ12" s="144" t="inlineStr">
        <is>
          <t>Winner</t>
        </is>
      </c>
      <c r="AK12" s="78">
        <f>IF(AM11&lt;&gt;"",AM11,IF(AND(ISNUMBER(AL10),ISNUMBER(AL11),AL10&lt;&gt;AL11),IF(AL10&gt;AL11,AJ10,AJ11),""))</f>
        <v/>
      </c>
      <c r="AL12" s="1" t="n"/>
      <c r="AM12" s="1" t="n"/>
      <c r="AN12" s="233" t="n"/>
      <c r="AO12" s="160" t="inlineStr">
        <is>
          <t>M78 | Round of 32</t>
        </is>
      </c>
      <c r="AP12" s="1" t="n"/>
      <c r="AQ12" s="1" t="n"/>
      <c r="AR12" s="1" t="n"/>
    </row>
    <row r="13" ht="18" customHeight="1" s="28">
      <c r="A13" s="170">
        <f>Setup!$D$4</f>
        <v/>
      </c>
      <c r="B13" s="1" t="n"/>
      <c r="C13" s="325">
        <f>IF('Knockout Pitch Map'!D13="","",'Knockout Pitch Map'!D13)</f>
        <v/>
      </c>
      <c r="D13" s="144" t="inlineStr">
        <is>
          <t>Pick</t>
        </is>
      </c>
      <c r="E13" s="233" t="n"/>
      <c r="F13" s="233" t="n"/>
      <c r="G13" s="233" t="n"/>
      <c r="H13" s="233" t="n"/>
      <c r="I13" s="233" t="n"/>
      <c r="J13" s="233" t="n"/>
      <c r="K13" s="233" t="n"/>
      <c r="L13" s="233" t="n"/>
      <c r="M13" s="233" t="n"/>
      <c r="N13" s="233" t="n"/>
      <c r="O13" s="233" t="n"/>
      <c r="P13" s="233" t="n"/>
      <c r="Q13" s="233" t="n"/>
      <c r="R13" s="233" t="n"/>
      <c r="S13" s="233" t="n"/>
      <c r="T13" s="233" t="n"/>
      <c r="U13" s="409" t="inlineStr">
        <is>
          <t>FINAL RESULT</t>
        </is>
      </c>
      <c r="V13" s="1" t="n"/>
      <c r="W13" s="1" t="n"/>
      <c r="X13" s="1" t="n"/>
      <c r="Y13" s="233" t="n"/>
      <c r="Z13" s="233" t="n"/>
      <c r="AA13" s="233" t="n"/>
      <c r="AB13" s="233" t="n"/>
      <c r="AC13" s="233" t="n"/>
      <c r="AD13" s="233" t="n"/>
      <c r="AE13" s="233" t="n"/>
      <c r="AF13" s="233" t="n"/>
      <c r="AG13" s="233" t="n"/>
      <c r="AH13" s="233" t="n"/>
      <c r="AI13" s="233" t="n"/>
      <c r="AJ13" s="233" t="n"/>
      <c r="AK13" s="233" t="n"/>
      <c r="AL13" s="233" t="n"/>
      <c r="AM13" s="233" t="n"/>
      <c r="AN13" s="233" t="n"/>
      <c r="AO13" s="170">
        <f>Setup!$D$12</f>
        <v/>
      </c>
      <c r="AP13" s="1" t="n"/>
      <c r="AQ13" s="325">
        <f>IF('Knockout Pitch Map'!AR13="","",'Knockout Pitch Map'!AR13)</f>
        <v/>
      </c>
      <c r="AR13" s="144" t="inlineStr">
        <is>
          <t>Pick</t>
        </is>
      </c>
    </row>
    <row r="14" ht="18" customHeight="1" s="28">
      <c r="A14" s="170">
        <f>Setup!$E$4</f>
        <v/>
      </c>
      <c r="B14" s="1" t="n"/>
      <c r="C14" s="325">
        <f>IF('Knockout Pitch Map'!D14="","",'Knockout Pitch Map'!D14)</f>
        <v/>
      </c>
      <c r="D14" s="327">
        <f>IF('Knockout Pitch Map'!B15="","",'Knockout Pitch Map'!B15)</f>
        <v/>
      </c>
      <c r="E14" s="233" t="n"/>
      <c r="F14" s="233" t="n"/>
      <c r="G14" s="233" t="n"/>
      <c r="H14" s="233" t="n"/>
      <c r="I14" s="233" t="n"/>
      <c r="J14" s="233" t="n"/>
      <c r="K14" s="233" t="n"/>
      <c r="L14" s="233" t="n"/>
      <c r="M14" s="233" t="n"/>
      <c r="N14" s="233" t="n"/>
      <c r="O14" s="233" t="n"/>
      <c r="P14" s="233" t="n"/>
      <c r="Q14" s="233" t="n"/>
      <c r="R14" s="233" t="n"/>
      <c r="S14" s="233" t="n"/>
      <c r="T14" s="233" t="n"/>
      <c r="U14" s="148" t="inlineStr">
        <is>
          <t>Winner</t>
        </is>
      </c>
      <c r="V14" s="1" t="n"/>
      <c r="W14" s="78">
        <f>IF(V30&lt;&gt;"",V30,"")</f>
        <v/>
      </c>
      <c r="X14" s="1" t="n"/>
      <c r="Y14" s="233" t="n"/>
      <c r="Z14" s="233" t="n"/>
      <c r="AA14" s="233" t="n"/>
      <c r="AB14" s="233" t="n"/>
      <c r="AC14" s="233" t="n"/>
      <c r="AD14" s="233" t="n"/>
      <c r="AE14" s="233" t="n"/>
      <c r="AF14" s="233" t="n"/>
      <c r="AG14" s="233" t="n"/>
      <c r="AH14" s="233" t="n"/>
      <c r="AI14" s="233" t="n"/>
      <c r="AJ14" s="233" t="n"/>
      <c r="AK14" s="233" t="n"/>
      <c r="AL14" s="233" t="n"/>
      <c r="AM14" s="233" t="n"/>
      <c r="AN14" s="233" t="n"/>
      <c r="AO14" s="170">
        <f>Setup!$E$12</f>
        <v/>
      </c>
      <c r="AP14" s="1" t="n"/>
      <c r="AQ14" s="325">
        <f>IF('Knockout Pitch Map'!AR14="","",'Knockout Pitch Map'!AR14)</f>
        <v/>
      </c>
      <c r="AR14" s="327">
        <f>IF('Knockout Pitch Map'!AP15="","",'Knockout Pitch Map'!AP15)</f>
        <v/>
      </c>
    </row>
    <row r="15" ht="18" customHeight="1" s="28">
      <c r="A15" s="144" t="inlineStr">
        <is>
          <t>Winner</t>
        </is>
      </c>
      <c r="B15" s="78">
        <f>IF(D14&lt;&gt;"",D14,IF(AND(ISNUMBER(C13),ISNUMBER(C14),C13&lt;&gt;C14),IF(C13&gt;C14,A13,A14),""))</f>
        <v/>
      </c>
      <c r="C15" s="1" t="n"/>
      <c r="D15" s="1" t="n"/>
      <c r="E15" s="233" t="n"/>
      <c r="F15" s="233" t="n"/>
      <c r="G15" s="233" t="n"/>
      <c r="H15" s="233" t="n"/>
      <c r="I15" s="233" t="n"/>
      <c r="J15" s="233" t="n"/>
      <c r="K15" s="160" t="inlineStr">
        <is>
          <t>M97 | Quarterfinal</t>
        </is>
      </c>
      <c r="L15" s="1" t="n"/>
      <c r="M15" s="1" t="n"/>
      <c r="N15" s="1" t="n"/>
      <c r="O15" s="233" t="n"/>
      <c r="P15" s="233" t="n"/>
      <c r="Q15" s="233" t="n"/>
      <c r="R15" s="233" t="n"/>
      <c r="S15" s="233" t="n"/>
      <c r="T15" s="233" t="n"/>
      <c r="U15" s="148" t="inlineStr">
        <is>
          <t>Runner Up</t>
        </is>
      </c>
      <c r="V15" s="1" t="n"/>
      <c r="W15" s="78">
        <f>IF(V30&lt;&gt;"",IF(V30=U28,U29,U28),"")</f>
        <v/>
      </c>
      <c r="X15" s="1" t="n"/>
      <c r="Y15" s="233" t="n"/>
      <c r="Z15" s="233" t="n"/>
      <c r="AA15" s="233" t="n"/>
      <c r="AB15" s="233" t="n"/>
      <c r="AC15" s="233" t="n"/>
      <c r="AD15" s="233" t="n"/>
      <c r="AE15" s="160" t="inlineStr">
        <is>
          <t>M99 | Quarterfinal</t>
        </is>
      </c>
      <c r="AF15" s="1" t="n"/>
      <c r="AG15" s="1" t="n"/>
      <c r="AH15" s="1" t="n"/>
      <c r="AI15" s="233" t="n"/>
      <c r="AJ15" s="233" t="n"/>
      <c r="AK15" s="233" t="n"/>
      <c r="AL15" s="233" t="n"/>
      <c r="AM15" s="233" t="n"/>
      <c r="AN15" s="233" t="n"/>
      <c r="AO15" s="144" t="inlineStr">
        <is>
          <t>Winner</t>
        </is>
      </c>
      <c r="AP15" s="78">
        <f>IF(AR14&lt;&gt;"",AR14,IF(AND(ISNUMBER(AQ13),ISNUMBER(AQ14),AQ13&lt;&gt;AQ14),IF(AQ13&gt;AQ14,AO13,AO14),""))</f>
        <v/>
      </c>
      <c r="AQ15" s="1" t="n"/>
      <c r="AR15" s="1" t="n"/>
    </row>
    <row r="16" ht="18" customHeight="1" s="28">
      <c r="A16" s="233" t="n"/>
      <c r="B16" s="233" t="n"/>
      <c r="C16" s="233" t="n"/>
      <c r="D16" s="233" t="n"/>
      <c r="E16" s="233" t="n"/>
      <c r="F16" s="233" t="n"/>
      <c r="G16" s="233" t="n"/>
      <c r="H16" s="233" t="n"/>
      <c r="I16" s="233" t="n"/>
      <c r="J16" s="233" t="n"/>
      <c r="K16" s="170">
        <f>IF(OR(G12="",G12=0),"",G12)</f>
        <v/>
      </c>
      <c r="L16" s="1" t="n"/>
      <c r="M16" s="325">
        <f>IF('Knockout Pitch Map'!N16="","",'Knockout Pitch Map'!N16)</f>
        <v/>
      </c>
      <c r="N16" s="144" t="inlineStr">
        <is>
          <t>Pick</t>
        </is>
      </c>
      <c r="O16" s="233" t="n"/>
      <c r="P16" s="233" t="n"/>
      <c r="Q16" s="233" t="n"/>
      <c r="R16" s="233" t="n"/>
      <c r="S16" s="233" t="n"/>
      <c r="T16" s="233" t="n"/>
      <c r="U16" s="148" t="inlineStr">
        <is>
          <t>Third Place</t>
        </is>
      </c>
      <c r="V16" s="1" t="n"/>
      <c r="W16" s="78">
        <f>IF(V41&lt;&gt;"",V41,"")</f>
        <v/>
      </c>
      <c r="X16" s="1" t="n"/>
      <c r="Y16" s="233" t="n"/>
      <c r="Z16" s="233" t="n"/>
      <c r="AA16" s="233" t="n"/>
      <c r="AB16" s="233" t="n"/>
      <c r="AC16" s="233" t="n"/>
      <c r="AD16" s="233" t="n"/>
      <c r="AE16" s="170">
        <f>IF(OR(AK12="",AK12=0),"",AK12)</f>
        <v/>
      </c>
      <c r="AF16" s="1" t="n"/>
      <c r="AG16" s="325">
        <f>IF('Knockout Pitch Map'!AH16="","",'Knockout Pitch Map'!AH16)</f>
        <v/>
      </c>
      <c r="AH16" s="144" t="inlineStr">
        <is>
          <t>Pick</t>
        </is>
      </c>
      <c r="AI16" s="233" t="n"/>
      <c r="AJ16" s="233" t="n"/>
      <c r="AK16" s="233" t="n"/>
      <c r="AL16" s="233" t="n"/>
      <c r="AM16" s="233" t="n"/>
      <c r="AN16" s="233" t="n"/>
      <c r="AO16" s="233" t="n"/>
      <c r="AP16" s="233" t="n"/>
      <c r="AQ16" s="233" t="n"/>
      <c r="AR16" s="233" t="n"/>
    </row>
    <row r="17" ht="18" customHeight="1" s="28">
      <c r="A17" s="233" t="n"/>
      <c r="B17" s="233" t="n"/>
      <c r="C17" s="233" t="n"/>
      <c r="D17" s="233" t="n"/>
      <c r="E17" s="233" t="n"/>
      <c r="F17" s="233" t="n"/>
      <c r="G17" s="233" t="n"/>
      <c r="H17" s="233" t="n"/>
      <c r="I17" s="233" t="n"/>
      <c r="J17" s="233" t="n"/>
      <c r="K17" s="170">
        <f>IF(OR(G24="",G24=0),"",G24)</f>
        <v/>
      </c>
      <c r="L17" s="1" t="n"/>
      <c r="M17" s="325">
        <f>IF('Knockout Pitch Map'!N17="","",'Knockout Pitch Map'!N17)</f>
        <v/>
      </c>
      <c r="N17" s="327">
        <f>IF('Knockout Pitch Map'!L18="","",'Knockout Pitch Map'!L18)</f>
        <v/>
      </c>
      <c r="O17" s="233" t="n"/>
      <c r="P17" s="233" t="n"/>
      <c r="Q17" s="233" t="n"/>
      <c r="R17" s="233" t="n"/>
      <c r="S17" s="233" t="n"/>
      <c r="T17" s="233" t="n"/>
      <c r="U17" s="233" t="n"/>
      <c r="V17" s="233" t="n"/>
      <c r="W17" s="233" t="n"/>
      <c r="X17" s="233" t="n"/>
      <c r="Y17" s="233" t="n"/>
      <c r="Z17" s="233" t="n"/>
      <c r="AA17" s="233" t="n"/>
      <c r="AB17" s="233" t="n"/>
      <c r="AC17" s="233" t="n"/>
      <c r="AD17" s="233" t="n"/>
      <c r="AE17" s="170">
        <f>IF(OR(AK24="",AK24=0),"",AK24)</f>
        <v/>
      </c>
      <c r="AF17" s="1" t="n"/>
      <c r="AG17" s="325">
        <f>IF('Knockout Pitch Map'!AH17="","",'Knockout Pitch Map'!AH17)</f>
        <v/>
      </c>
      <c r="AH17" s="327">
        <f>IF('Knockout Pitch Map'!AF18="","",'Knockout Pitch Map'!AF18)</f>
        <v/>
      </c>
      <c r="AI17" s="233" t="n"/>
      <c r="AJ17" s="233" t="n"/>
      <c r="AK17" s="233" t="n"/>
      <c r="AL17" s="233" t="n"/>
      <c r="AM17" s="233" t="n"/>
      <c r="AN17" s="233" t="n"/>
      <c r="AO17" s="233" t="n"/>
      <c r="AP17" s="233" t="n"/>
      <c r="AQ17" s="233" t="n"/>
      <c r="AR17" s="233" t="n"/>
    </row>
    <row r="18" ht="18" customHeight="1" s="28">
      <c r="A18" s="160" t="inlineStr">
        <is>
          <t>M73 | Round of 32</t>
        </is>
      </c>
      <c r="B18" s="1" t="n"/>
      <c r="C18" s="1" t="n"/>
      <c r="D18" s="1" t="n"/>
      <c r="E18" s="233" t="n"/>
      <c r="F18" s="233" t="n"/>
      <c r="G18" s="233" t="n"/>
      <c r="H18" s="233" t="n"/>
      <c r="I18" s="233" t="n"/>
      <c r="J18" s="233" t="n"/>
      <c r="K18" s="144" t="inlineStr">
        <is>
          <t>Winner</t>
        </is>
      </c>
      <c r="L18" s="78">
        <f>IF(N17&lt;&gt;"",N17,IF(AND(ISNUMBER(M16),ISNUMBER(M17),M16&lt;&gt;M17),IF(M16&gt;M17,K16,K17),""))</f>
        <v/>
      </c>
      <c r="M18" s="1" t="n"/>
      <c r="N18" s="1" t="n"/>
      <c r="O18" s="233" t="n"/>
      <c r="P18" s="233" t="n"/>
      <c r="Q18" s="233" t="n"/>
      <c r="R18" s="233" t="n"/>
      <c r="S18" s="233" t="n"/>
      <c r="T18" s="233" t="n"/>
      <c r="U18" s="233" t="n"/>
      <c r="V18" s="233" t="n"/>
      <c r="W18" s="233" t="n"/>
      <c r="X18" s="233" t="n"/>
      <c r="Y18" s="233" t="n"/>
      <c r="Z18" s="233" t="n"/>
      <c r="AA18" s="233" t="n"/>
      <c r="AB18" s="233" t="n"/>
      <c r="AC18" s="233" t="n"/>
      <c r="AD18" s="233" t="n"/>
      <c r="AE18" s="144" t="inlineStr">
        <is>
          <t>Winner</t>
        </is>
      </c>
      <c r="AF18" s="78">
        <f>IF(AH17&lt;&gt;"",AH17,IF(AND(ISNUMBER(AG16),ISNUMBER(AG17),AG16&lt;&gt;AG17),IF(AG16&gt;AG17,AE16,AE17),""))</f>
        <v/>
      </c>
      <c r="AG18" s="1" t="n"/>
      <c r="AH18" s="1" t="n"/>
      <c r="AI18" s="233" t="n"/>
      <c r="AJ18" s="233" t="n"/>
      <c r="AK18" s="233" t="n"/>
      <c r="AL18" s="233" t="n"/>
      <c r="AM18" s="233" t="n"/>
      <c r="AN18" s="233" t="n"/>
      <c r="AO18" s="160" t="inlineStr">
        <is>
          <t>M79 | Round of 32</t>
        </is>
      </c>
      <c r="AP18" s="1" t="n"/>
      <c r="AQ18" s="1" t="n"/>
      <c r="AR18" s="1" t="n"/>
    </row>
    <row r="19" ht="18" customHeight="1" s="28">
      <c r="A19" s="170">
        <f>Setup!$D$5</f>
        <v/>
      </c>
      <c r="B19" s="1" t="n"/>
      <c r="C19" s="325">
        <f>IF('Knockout Pitch Map'!D20="","",'Knockout Pitch Map'!D20)</f>
        <v/>
      </c>
      <c r="D19" s="144" t="inlineStr">
        <is>
          <t>Pick</t>
        </is>
      </c>
      <c r="E19" s="233" t="n"/>
      <c r="F19" s="233" t="n"/>
      <c r="G19" s="233" t="n"/>
      <c r="H19" s="233" t="n"/>
      <c r="I19" s="233" t="n"/>
      <c r="J19" s="233" t="n"/>
      <c r="K19" s="233" t="n"/>
      <c r="L19" s="233" t="n"/>
      <c r="M19" s="233" t="n"/>
      <c r="N19" s="233" t="n"/>
      <c r="O19" s="233" t="n"/>
      <c r="P19" s="233" t="n"/>
      <c r="Q19" s="233" t="n"/>
      <c r="R19" s="233" t="n"/>
      <c r="S19" s="233" t="n"/>
      <c r="T19" s="233" t="n"/>
      <c r="U19" s="233" t="n"/>
      <c r="V19" s="233" t="n"/>
      <c r="W19" s="233" t="n"/>
      <c r="X19" s="233" t="n"/>
      <c r="Y19" s="233" t="n"/>
      <c r="Z19" s="233" t="n"/>
      <c r="AA19" s="233" t="n"/>
      <c r="AB19" s="233" t="n"/>
      <c r="AC19" s="233" t="n"/>
      <c r="AD19" s="233" t="n"/>
      <c r="AE19" s="233" t="n"/>
      <c r="AF19" s="233" t="n"/>
      <c r="AG19" s="233" t="n"/>
      <c r="AH19" s="233" t="n"/>
      <c r="AI19" s="233" t="n"/>
      <c r="AJ19" s="233" t="n"/>
      <c r="AK19" s="233" t="n"/>
      <c r="AL19" s="233" t="n"/>
      <c r="AM19" s="233" t="n"/>
      <c r="AN19" s="233" t="n"/>
      <c r="AO19" s="170">
        <f>Setup!$D$13</f>
        <v/>
      </c>
      <c r="AP19" s="1" t="n"/>
      <c r="AQ19" s="325">
        <f>IF('Knockout Pitch Map'!AR20="","",'Knockout Pitch Map'!AR20)</f>
        <v/>
      </c>
      <c r="AR19" s="144" t="inlineStr">
        <is>
          <t>Pick</t>
        </is>
      </c>
    </row>
    <row r="20" ht="18" customHeight="1" s="28">
      <c r="A20" s="170">
        <f>Setup!$E$5</f>
        <v/>
      </c>
      <c r="B20" s="1" t="n"/>
      <c r="C20" s="325">
        <f>IF('Knockout Pitch Map'!D21="","",'Knockout Pitch Map'!D21)</f>
        <v/>
      </c>
      <c r="D20" s="327">
        <f>IF('Knockout Pitch Map'!B22="","",'Knockout Pitch Map'!B22)</f>
        <v/>
      </c>
      <c r="E20" s="233" t="n"/>
      <c r="F20" s="233" t="n"/>
      <c r="G20" s="233" t="n"/>
      <c r="H20" s="233" t="n"/>
      <c r="I20" s="233" t="n"/>
      <c r="J20" s="233" t="n"/>
      <c r="K20" s="233" t="n"/>
      <c r="L20" s="233" t="n"/>
      <c r="M20" s="233" t="n"/>
      <c r="N20" s="233" t="n"/>
      <c r="O20" s="233" t="n"/>
      <c r="P20" s="233" t="n"/>
      <c r="Q20" s="233" t="n"/>
      <c r="R20" s="233" t="n"/>
      <c r="S20" s="233" t="n"/>
      <c r="T20" s="233" t="n"/>
      <c r="U20" s="233" t="n"/>
      <c r="V20" s="233" t="n"/>
      <c r="W20" s="233" t="n"/>
      <c r="X20" s="233" t="n"/>
      <c r="Y20" s="233" t="n"/>
      <c r="Z20" s="233" t="n"/>
      <c r="AA20" s="233" t="n"/>
      <c r="AB20" s="233" t="n"/>
      <c r="AC20" s="233" t="n"/>
      <c r="AD20" s="233" t="n"/>
      <c r="AE20" s="233" t="n"/>
      <c r="AF20" s="233" t="n"/>
      <c r="AG20" s="233" t="n"/>
      <c r="AH20" s="233" t="n"/>
      <c r="AI20" s="233" t="n"/>
      <c r="AJ20" s="233" t="n"/>
      <c r="AK20" s="233" t="n"/>
      <c r="AL20" s="233" t="n"/>
      <c r="AM20" s="233" t="n"/>
      <c r="AN20" s="233" t="n"/>
      <c r="AO20" s="170">
        <f>Setup!$E$13</f>
        <v/>
      </c>
      <c r="AP20" s="1" t="n"/>
      <c r="AQ20" s="325">
        <f>IF('Knockout Pitch Map'!AR21="","",'Knockout Pitch Map'!AR21)</f>
        <v/>
      </c>
      <c r="AR20" s="327">
        <f>IF('Knockout Pitch Map'!AP22="","",'Knockout Pitch Map'!AP22)</f>
        <v/>
      </c>
    </row>
    <row r="21" ht="18" customHeight="1" s="28">
      <c r="A21" s="144" t="inlineStr">
        <is>
          <t>Winner</t>
        </is>
      </c>
      <c r="B21" s="78">
        <f>IF(D20&lt;&gt;"",D20,IF(AND(ISNUMBER(C19),ISNUMBER(C20),C19&lt;&gt;C20),IF(C19&gt;C20,A19,A20),""))</f>
        <v/>
      </c>
      <c r="C21" s="1" t="n"/>
      <c r="D21" s="1" t="n"/>
      <c r="E21" s="233" t="n"/>
      <c r="F21" s="160" t="inlineStr">
        <is>
          <t>M90 | Round of 16</t>
        </is>
      </c>
      <c r="G21" s="1" t="n"/>
      <c r="H21" s="1" t="n"/>
      <c r="I21" s="1" t="n"/>
      <c r="J21" s="233" t="n"/>
      <c r="K21" s="233" t="n"/>
      <c r="L21" s="233" t="n"/>
      <c r="M21" s="233" t="n"/>
      <c r="N21" s="233" t="n"/>
      <c r="O21" s="233" t="n"/>
      <c r="P21" s="233" t="n"/>
      <c r="Q21" s="233" t="n"/>
      <c r="R21" s="233" t="n"/>
      <c r="S21" s="233" t="n"/>
      <c r="T21" s="233" t="n"/>
      <c r="U21" s="233" t="n"/>
      <c r="V21" s="233" t="n"/>
      <c r="W21" s="233" t="n"/>
      <c r="X21" s="233" t="n"/>
      <c r="Y21" s="233" t="n"/>
      <c r="Z21" s="233" t="n"/>
      <c r="AA21" s="233" t="n"/>
      <c r="AB21" s="233" t="n"/>
      <c r="AC21" s="233" t="n"/>
      <c r="AD21" s="233" t="n"/>
      <c r="AE21" s="233" t="n"/>
      <c r="AF21" s="233" t="n"/>
      <c r="AG21" s="233" t="n"/>
      <c r="AH21" s="233" t="n"/>
      <c r="AI21" s="233" t="n"/>
      <c r="AJ21" s="160" t="inlineStr">
        <is>
          <t>M92 | Round of 16</t>
        </is>
      </c>
      <c r="AK21" s="1" t="n"/>
      <c r="AL21" s="1" t="n"/>
      <c r="AM21" s="1" t="n"/>
      <c r="AN21" s="233" t="n"/>
      <c r="AO21" s="144" t="inlineStr">
        <is>
          <t>Winner</t>
        </is>
      </c>
      <c r="AP21" s="78">
        <f>IF(AR20&lt;&gt;"",AR20,IF(AND(ISNUMBER(AQ19),ISNUMBER(AQ20),AQ19&lt;&gt;AQ20),IF(AQ19&gt;AQ20,AO19,AO20),""))</f>
        <v/>
      </c>
      <c r="AQ21" s="1" t="n"/>
      <c r="AR21" s="1" t="n"/>
    </row>
    <row r="22" ht="18" customHeight="1" s="28">
      <c r="A22" s="233" t="n"/>
      <c r="B22" s="233" t="n"/>
      <c r="C22" s="233" t="n"/>
      <c r="D22" s="233" t="n"/>
      <c r="E22" s="233" t="n"/>
      <c r="F22" s="170">
        <f>IF(OR(B21="",B21=0),"",B21)</f>
        <v/>
      </c>
      <c r="G22" s="1" t="n"/>
      <c r="H22" s="325">
        <f>IF('Knockout Pitch Map'!I23="","",'Knockout Pitch Map'!I23)</f>
        <v/>
      </c>
      <c r="I22" s="144" t="inlineStr">
        <is>
          <t>Pick</t>
        </is>
      </c>
      <c r="J22" s="233" t="n"/>
      <c r="K22" s="233" t="n"/>
      <c r="L22" s="233" t="n"/>
      <c r="M22" s="233" t="n"/>
      <c r="N22" s="233" t="n"/>
      <c r="O22" s="233" t="n"/>
      <c r="P22" s="233" t="n"/>
      <c r="Q22" s="233" t="n"/>
      <c r="R22" s="233" t="n"/>
      <c r="S22" s="233" t="n"/>
      <c r="T22" s="233" t="n"/>
      <c r="U22" s="233" t="n"/>
      <c r="V22" s="233" t="n"/>
      <c r="W22" s="233" t="n"/>
      <c r="X22" s="233" t="n"/>
      <c r="Y22" s="233" t="n"/>
      <c r="Z22" s="233" t="n"/>
      <c r="AA22" s="233" t="n"/>
      <c r="AB22" s="233" t="n"/>
      <c r="AC22" s="233" t="n"/>
      <c r="AD22" s="233" t="n"/>
      <c r="AE22" s="233" t="n"/>
      <c r="AF22" s="233" t="n"/>
      <c r="AG22" s="233" t="n"/>
      <c r="AH22" s="233" t="n"/>
      <c r="AI22" s="233" t="n"/>
      <c r="AJ22" s="170">
        <f>IF(OR(AP21="",AP21=0),"",AP21)</f>
        <v/>
      </c>
      <c r="AK22" s="1" t="n"/>
      <c r="AL22" s="325">
        <f>IF('Knockout Pitch Map'!AM23="","",'Knockout Pitch Map'!AM23)</f>
        <v/>
      </c>
      <c r="AM22" s="144" t="inlineStr">
        <is>
          <t>Pick</t>
        </is>
      </c>
      <c r="AN22" s="233" t="n"/>
      <c r="AO22" s="233" t="n"/>
      <c r="AP22" s="233" t="n"/>
      <c r="AQ22" s="233" t="n"/>
      <c r="AR22" s="233" t="n"/>
    </row>
    <row r="23" ht="18" customHeight="1" s="28">
      <c r="A23" s="233" t="n"/>
      <c r="B23" s="233" t="n"/>
      <c r="C23" s="233" t="n"/>
      <c r="D23" s="233" t="n"/>
      <c r="E23" s="233" t="n"/>
      <c r="F23" s="170">
        <f>IF(OR(B27="",B27=0),"",B27)</f>
        <v/>
      </c>
      <c r="G23" s="1" t="n"/>
      <c r="H23" s="325">
        <f>IF('Knockout Pitch Map'!I24="","",'Knockout Pitch Map'!I24)</f>
        <v/>
      </c>
      <c r="I23" s="327">
        <f>IF('Knockout Pitch Map'!G25="","",'Knockout Pitch Map'!G25)</f>
        <v/>
      </c>
      <c r="J23" s="233" t="n"/>
      <c r="K23" s="233" t="n"/>
      <c r="L23" s="233" t="n"/>
      <c r="M23" s="233" t="n"/>
      <c r="N23" s="233" t="n"/>
      <c r="O23" s="233" t="n"/>
      <c r="P23" s="404" t="inlineStr">
        <is>
          <t>Semi-finals</t>
        </is>
      </c>
      <c r="Q23" s="1" t="n"/>
      <c r="R23" s="1" t="n"/>
      <c r="S23" s="1" t="n"/>
      <c r="T23" s="233" t="n"/>
      <c r="U23" s="404" t="inlineStr">
        <is>
          <t>Final</t>
        </is>
      </c>
      <c r="V23" s="1" t="n"/>
      <c r="W23" s="1" t="n"/>
      <c r="X23" s="1" t="n"/>
      <c r="Y23" s="233" t="n"/>
      <c r="Z23" s="404" t="inlineStr">
        <is>
          <t>Semi-finals</t>
        </is>
      </c>
      <c r="AA23" s="1" t="n"/>
      <c r="AB23" s="1" t="n"/>
      <c r="AC23" s="1" t="n"/>
      <c r="AD23" s="233" t="n"/>
      <c r="AE23" s="233" t="n"/>
      <c r="AF23" s="233" t="n"/>
      <c r="AG23" s="233" t="n"/>
      <c r="AH23" s="233" t="n"/>
      <c r="AI23" s="233" t="n"/>
      <c r="AJ23" s="170">
        <f>IF(OR(AP27="",AP27=0),"",AP27)</f>
        <v/>
      </c>
      <c r="AK23" s="1" t="n"/>
      <c r="AL23" s="325">
        <f>IF('Knockout Pitch Map'!AM24="","",'Knockout Pitch Map'!AM24)</f>
        <v/>
      </c>
      <c r="AM23" s="327">
        <f>IF('Knockout Pitch Map'!AK25="","",'Knockout Pitch Map'!AK25)</f>
        <v/>
      </c>
      <c r="AN23" s="233" t="n"/>
      <c r="AO23" s="233" t="n"/>
      <c r="AP23" s="233" t="n"/>
      <c r="AQ23" s="233" t="n"/>
      <c r="AR23" s="233" t="n"/>
    </row>
    <row r="24" ht="18" customHeight="1" s="28">
      <c r="A24" s="160" t="inlineStr">
        <is>
          <t>M75 | Round of 32</t>
        </is>
      </c>
      <c r="B24" s="1" t="n"/>
      <c r="C24" s="1" t="n"/>
      <c r="D24" s="1" t="n"/>
      <c r="E24" s="233" t="n"/>
      <c r="F24" s="144" t="inlineStr">
        <is>
          <t>Winner</t>
        </is>
      </c>
      <c r="G24" s="78">
        <f>IF(I23&lt;&gt;"",I23,IF(AND(ISNUMBER(H22),ISNUMBER(H23),H22&lt;&gt;H23),IF(H22&gt;H23,F22,F23),""))</f>
        <v/>
      </c>
      <c r="H24" s="1" t="n"/>
      <c r="I24" s="1" t="n"/>
      <c r="J24" s="233" t="n"/>
      <c r="K24" s="233" t="n"/>
      <c r="L24" s="233" t="n"/>
      <c r="M24" s="233" t="n"/>
      <c r="N24" s="233" t="n"/>
      <c r="O24" s="233" t="n"/>
      <c r="P24" s="233" t="n"/>
      <c r="Q24" s="233" t="n"/>
      <c r="R24" s="233" t="n"/>
      <c r="S24" s="233" t="n"/>
      <c r="T24" s="233" t="n"/>
      <c r="U24" s="233" t="n"/>
      <c r="V24" s="233" t="n"/>
      <c r="W24" s="233" t="n"/>
      <c r="X24" s="233" t="n"/>
      <c r="Y24" s="233" t="n"/>
      <c r="Z24" s="233" t="n"/>
      <c r="AA24" s="233" t="n"/>
      <c r="AB24" s="233" t="n"/>
      <c r="AC24" s="233" t="n"/>
      <c r="AD24" s="233" t="n"/>
      <c r="AE24" s="233" t="n"/>
      <c r="AF24" s="233" t="n"/>
      <c r="AG24" s="233" t="n"/>
      <c r="AH24" s="233" t="n"/>
      <c r="AI24" s="233" t="n"/>
      <c r="AJ24" s="144" t="inlineStr">
        <is>
          <t>Winner</t>
        </is>
      </c>
      <c r="AK24" s="78">
        <f>IF(AM23&lt;&gt;"",AM23,IF(AND(ISNUMBER(AL22),ISNUMBER(AL23),AL22&lt;&gt;AL23),IF(AL22&gt;AL23,AJ22,AJ23),""))</f>
        <v/>
      </c>
      <c r="AL24" s="1" t="n"/>
      <c r="AM24" s="1" t="n"/>
      <c r="AN24" s="233" t="n"/>
      <c r="AO24" s="160" t="inlineStr">
        <is>
          <t>M80 | Round of 32</t>
        </is>
      </c>
      <c r="AP24" s="1" t="n"/>
      <c r="AQ24" s="1" t="n"/>
      <c r="AR24" s="1" t="n"/>
    </row>
    <row r="25" ht="18" customHeight="1" s="28">
      <c r="A25" s="170">
        <f>Setup!$D$6</f>
        <v/>
      </c>
      <c r="B25" s="1" t="n"/>
      <c r="C25" s="325">
        <f>IF('Knockout Pitch Map'!D27="","",'Knockout Pitch Map'!D27)</f>
        <v/>
      </c>
      <c r="D25" s="144" t="inlineStr">
        <is>
          <t>Pick</t>
        </is>
      </c>
      <c r="E25" s="233" t="n"/>
      <c r="F25" s="233" t="n"/>
      <c r="G25" s="233" t="n"/>
      <c r="H25" s="233" t="n"/>
      <c r="I25" s="233" t="n"/>
      <c r="J25" s="233" t="n"/>
      <c r="K25" s="233" t="n"/>
      <c r="L25" s="233" t="n"/>
      <c r="M25" s="233" t="n"/>
      <c r="N25" s="233" t="n"/>
      <c r="O25" s="233" t="n"/>
      <c r="P25" s="233" t="n"/>
      <c r="Q25" s="233" t="n"/>
      <c r="R25" s="233" t="n"/>
      <c r="S25" s="233" t="n"/>
      <c r="T25" s="233" t="n"/>
      <c r="U25" s="233" t="n"/>
      <c r="V25" s="233" t="n"/>
      <c r="W25" s="233" t="n"/>
      <c r="X25" s="233" t="n"/>
      <c r="Y25" s="233" t="n"/>
      <c r="Z25" s="233" t="n"/>
      <c r="AA25" s="233" t="n"/>
      <c r="AB25" s="233" t="n"/>
      <c r="AC25" s="233" t="n"/>
      <c r="AD25" s="233" t="n"/>
      <c r="AE25" s="233" t="n"/>
      <c r="AF25" s="233" t="n"/>
      <c r="AG25" s="233" t="n"/>
      <c r="AH25" s="233" t="n"/>
      <c r="AI25" s="233" t="n"/>
      <c r="AJ25" s="233" t="n"/>
      <c r="AK25" s="233" t="n"/>
      <c r="AL25" s="233" t="n"/>
      <c r="AM25" s="233" t="n"/>
      <c r="AN25" s="233" t="n"/>
      <c r="AO25" s="170">
        <f>Setup!$D$14</f>
        <v/>
      </c>
      <c r="AP25" s="1" t="n"/>
      <c r="AQ25" s="325">
        <f>IF('Knockout Pitch Map'!AR27="","",'Knockout Pitch Map'!AR27)</f>
        <v/>
      </c>
      <c r="AR25" s="144" t="inlineStr">
        <is>
          <t>Pick</t>
        </is>
      </c>
    </row>
    <row r="26" ht="18" customHeight="1" s="28">
      <c r="A26" s="170">
        <f>Setup!$E$6</f>
        <v/>
      </c>
      <c r="B26" s="1" t="n"/>
      <c r="C26" s="325">
        <f>IF('Knockout Pitch Map'!D28="","",'Knockout Pitch Map'!D28)</f>
        <v/>
      </c>
      <c r="D26" s="327">
        <f>IF('Knockout Pitch Map'!B29="","",'Knockout Pitch Map'!B29)</f>
        <v/>
      </c>
      <c r="E26" s="233" t="n"/>
      <c r="F26" s="233" t="n"/>
      <c r="G26" s="233" t="n"/>
      <c r="H26" s="233" t="n"/>
      <c r="I26" s="233" t="n"/>
      <c r="J26" s="233" t="n"/>
      <c r="K26" s="233" t="n"/>
      <c r="L26" s="233" t="n"/>
      <c r="M26" s="233" t="n"/>
      <c r="N26" s="233" t="n"/>
      <c r="O26" s="233" t="n"/>
      <c r="P26" s="233" t="n"/>
      <c r="Q26" s="233" t="n"/>
      <c r="R26" s="233" t="n"/>
      <c r="S26" s="233" t="n"/>
      <c r="T26" s="233" t="n"/>
      <c r="U26" s="233" t="n"/>
      <c r="V26" s="233" t="n"/>
      <c r="W26" s="233" t="n"/>
      <c r="X26" s="233" t="n"/>
      <c r="Y26" s="233" t="n"/>
      <c r="Z26" s="233" t="n"/>
      <c r="AA26" s="233" t="n"/>
      <c r="AB26" s="233" t="n"/>
      <c r="AC26" s="233" t="n"/>
      <c r="AD26" s="233" t="n"/>
      <c r="AE26" s="233" t="n"/>
      <c r="AF26" s="233" t="n"/>
      <c r="AG26" s="233" t="n"/>
      <c r="AH26" s="233" t="n"/>
      <c r="AI26" s="233" t="n"/>
      <c r="AJ26" s="233" t="n"/>
      <c r="AK26" s="233" t="n"/>
      <c r="AL26" s="233" t="n"/>
      <c r="AM26" s="233" t="n"/>
      <c r="AN26" s="233" t="n"/>
      <c r="AO26" s="170">
        <f>Setup!$E$14</f>
        <v/>
      </c>
      <c r="AP26" s="1" t="n"/>
      <c r="AQ26" s="325">
        <f>IF('Knockout Pitch Map'!AR28="","",'Knockout Pitch Map'!AR28)</f>
        <v/>
      </c>
      <c r="AR26" s="327">
        <f>IF('Knockout Pitch Map'!AP29="","",'Knockout Pitch Map'!AP29)</f>
        <v/>
      </c>
    </row>
    <row r="27" ht="18" customHeight="1" s="28">
      <c r="A27" s="144" t="inlineStr">
        <is>
          <t>Winner</t>
        </is>
      </c>
      <c r="B27" s="78">
        <f>IF(D26&lt;&gt;"",D26,IF(AND(ISNUMBER(C25),ISNUMBER(C26),C25&lt;&gt;C26),IF(C25&gt;C26,A25,A26),""))</f>
        <v/>
      </c>
      <c r="C27" s="1" t="n"/>
      <c r="D27" s="1" t="n"/>
      <c r="E27" s="233" t="n"/>
      <c r="F27" s="233" t="n"/>
      <c r="G27" s="233" t="n"/>
      <c r="H27" s="233" t="n"/>
      <c r="I27" s="233" t="n"/>
      <c r="J27" s="233" t="n"/>
      <c r="K27" s="233" t="n"/>
      <c r="L27" s="233" t="n"/>
      <c r="M27" s="233" t="n"/>
      <c r="N27" s="233" t="n"/>
      <c r="O27" s="233" t="n"/>
      <c r="P27" s="160" t="inlineStr">
        <is>
          <t>M101 | Semi-final</t>
        </is>
      </c>
      <c r="Q27" s="1" t="n"/>
      <c r="R27" s="1" t="n"/>
      <c r="S27" s="1" t="n"/>
      <c r="T27" s="233" t="n"/>
      <c r="U27" s="206" t="inlineStr">
        <is>
          <t>M104 | Final</t>
        </is>
      </c>
      <c r="V27" s="1" t="n"/>
      <c r="W27" s="1" t="n"/>
      <c r="X27" s="1" t="n"/>
      <c r="Y27" s="233" t="n"/>
      <c r="Z27" s="160" t="inlineStr">
        <is>
          <t>M102 | Semi-final</t>
        </is>
      </c>
      <c r="AA27" s="1" t="n"/>
      <c r="AB27" s="1" t="n"/>
      <c r="AC27" s="1" t="n"/>
      <c r="AD27" s="233" t="n"/>
      <c r="AE27" s="233" t="n"/>
      <c r="AF27" s="233" t="n"/>
      <c r="AG27" s="233" t="n"/>
      <c r="AH27" s="233" t="n"/>
      <c r="AI27" s="233" t="n"/>
      <c r="AJ27" s="233" t="n"/>
      <c r="AK27" s="233" t="n"/>
      <c r="AL27" s="233" t="n"/>
      <c r="AM27" s="233" t="n"/>
      <c r="AN27" s="233" t="n"/>
      <c r="AO27" s="144" t="inlineStr">
        <is>
          <t>Winner</t>
        </is>
      </c>
      <c r="AP27" s="78">
        <f>IF(AR26&lt;&gt;"",AR26,IF(AND(ISNUMBER(AQ25),ISNUMBER(AQ26),AQ25&lt;&gt;AQ26),IF(AQ25&gt;AQ26,AO25,AO26),""))</f>
        <v/>
      </c>
      <c r="AQ27" s="1" t="n"/>
      <c r="AR27" s="1" t="n"/>
    </row>
    <row r="28" ht="18" customHeight="1" s="28">
      <c r="A28" s="233" t="n"/>
      <c r="B28" s="233" t="n"/>
      <c r="C28" s="233" t="n"/>
      <c r="D28" s="233" t="n"/>
      <c r="E28" s="233" t="n"/>
      <c r="F28" s="233" t="n"/>
      <c r="G28" s="233" t="n"/>
      <c r="H28" s="233" t="n"/>
      <c r="I28" s="233" t="n"/>
      <c r="J28" s="233" t="n"/>
      <c r="K28" s="233" t="n"/>
      <c r="L28" s="233" t="n"/>
      <c r="M28" s="233" t="n"/>
      <c r="N28" s="233" t="n"/>
      <c r="O28" s="233" t="n"/>
      <c r="P28" s="170">
        <f>IF(OR(L18="",L18=0),"",L18)</f>
        <v/>
      </c>
      <c r="Q28" s="1" t="n"/>
      <c r="R28" s="325">
        <f>IF('Knockout Pitch Map'!S30="","",'Knockout Pitch Map'!S30)</f>
        <v/>
      </c>
      <c r="S28" s="144" t="inlineStr">
        <is>
          <t>Pick</t>
        </is>
      </c>
      <c r="T28" s="233" t="n"/>
      <c r="U28" s="200">
        <f>IF(OR(Q30="",Q30=0),"",Q30)</f>
        <v/>
      </c>
      <c r="V28" s="1" t="n"/>
      <c r="W28" s="329">
        <f>IF('Knockout Pitch Map'!X26="","",'Knockout Pitch Map'!X26)</f>
        <v/>
      </c>
      <c r="X28" s="195" t="inlineStr">
        <is>
          <t>Pick</t>
        </is>
      </c>
      <c r="Y28" s="233" t="n"/>
      <c r="Z28" s="170">
        <f>IF(OR(AF18="",AF18=0),"",AF18)</f>
        <v/>
      </c>
      <c r="AA28" s="1" t="n"/>
      <c r="AB28" s="325">
        <f>IF('Knockout Pitch Map'!AC30="","",'Knockout Pitch Map'!AC30)</f>
        <v/>
      </c>
      <c r="AC28" s="144" t="inlineStr">
        <is>
          <t>Pick</t>
        </is>
      </c>
      <c r="AD28" s="233" t="n"/>
      <c r="AE28" s="233" t="n"/>
      <c r="AF28" s="233" t="n"/>
      <c r="AG28" s="233" t="n"/>
      <c r="AH28" s="233" t="n"/>
      <c r="AI28" s="233" t="n"/>
      <c r="AJ28" s="233" t="n"/>
      <c r="AK28" s="233" t="n"/>
      <c r="AL28" s="233" t="n"/>
      <c r="AM28" s="233" t="n"/>
      <c r="AN28" s="233" t="n"/>
      <c r="AO28" s="233" t="n"/>
      <c r="AP28" s="233" t="n"/>
      <c r="AQ28" s="233" t="n"/>
      <c r="AR28" s="233" t="n"/>
    </row>
    <row r="29" ht="18" customHeight="1" s="28">
      <c r="A29" s="233" t="n"/>
      <c r="B29" s="233" t="n"/>
      <c r="C29" s="233" t="n"/>
      <c r="D29" s="233" t="n"/>
      <c r="E29" s="233" t="n"/>
      <c r="F29" s="233" t="n"/>
      <c r="G29" s="233" t="n"/>
      <c r="H29" s="233" t="n"/>
      <c r="I29" s="233" t="n"/>
      <c r="J29" s="233" t="n"/>
      <c r="K29" s="233" t="n"/>
      <c r="L29" s="233" t="n"/>
      <c r="M29" s="233" t="n"/>
      <c r="N29" s="233" t="n"/>
      <c r="O29" s="233" t="n"/>
      <c r="P29" s="170">
        <f>IF(OR(L42="",L42=0),"",L42)</f>
        <v/>
      </c>
      <c r="Q29" s="1" t="n"/>
      <c r="R29" s="325">
        <f>IF('Knockout Pitch Map'!S31="","",'Knockout Pitch Map'!S31)</f>
        <v/>
      </c>
      <c r="S29" s="327">
        <f>IF('Knockout Pitch Map'!Q32="","",'Knockout Pitch Map'!Q32)</f>
        <v/>
      </c>
      <c r="T29" s="233" t="n"/>
      <c r="U29" s="200">
        <f>IF(OR(AA30="",AA30=0),"",AA30)</f>
        <v/>
      </c>
      <c r="V29" s="1" t="n"/>
      <c r="W29" s="329">
        <f>IF('Knockout Pitch Map'!X27="","",'Knockout Pitch Map'!X27)</f>
        <v/>
      </c>
      <c r="X29" s="327">
        <f>IF('Knockout Pitch Map'!V28="","",'Knockout Pitch Map'!V28)</f>
        <v/>
      </c>
      <c r="Y29" s="233" t="n"/>
      <c r="Z29" s="170">
        <f>IF(OR(AF42="",AF42=0),"",AF42)</f>
        <v/>
      </c>
      <c r="AA29" s="1" t="n"/>
      <c r="AB29" s="325">
        <f>IF('Knockout Pitch Map'!AC31="","",'Knockout Pitch Map'!AC31)</f>
        <v/>
      </c>
      <c r="AC29" s="327">
        <f>IF('Knockout Pitch Map'!AA32="","",'Knockout Pitch Map'!AA32)</f>
        <v/>
      </c>
      <c r="AD29" s="233" t="n"/>
      <c r="AE29" s="233" t="n"/>
      <c r="AF29" s="233" t="n"/>
      <c r="AG29" s="233" t="n"/>
      <c r="AH29" s="233" t="n"/>
      <c r="AI29" s="233" t="n"/>
      <c r="AJ29" s="233" t="n"/>
      <c r="AK29" s="233" t="n"/>
      <c r="AL29" s="233" t="n"/>
      <c r="AM29" s="233" t="n"/>
      <c r="AN29" s="233" t="n"/>
      <c r="AO29" s="233" t="n"/>
      <c r="AP29" s="233" t="n"/>
      <c r="AQ29" s="233" t="n"/>
      <c r="AR29" s="233" t="n"/>
    </row>
    <row r="30" ht="18" customHeight="1" s="28">
      <c r="A30" s="160" t="inlineStr">
        <is>
          <t>M83 | Round of 32</t>
        </is>
      </c>
      <c r="B30" s="1" t="n"/>
      <c r="C30" s="1" t="n"/>
      <c r="D30" s="1" t="n"/>
      <c r="E30" s="233" t="n"/>
      <c r="F30" s="233" t="n"/>
      <c r="G30" s="233" t="n"/>
      <c r="H30" s="233" t="n"/>
      <c r="I30" s="233" t="n"/>
      <c r="J30" s="233" t="n"/>
      <c r="K30" s="233" t="n"/>
      <c r="L30" s="233" t="n"/>
      <c r="M30" s="233" t="n"/>
      <c r="N30" s="233" t="n"/>
      <c r="O30" s="233" t="n"/>
      <c r="P30" s="144" t="inlineStr">
        <is>
          <t>Winner</t>
        </is>
      </c>
      <c r="Q30" s="78">
        <f>IF(S29&lt;&gt;"",S29,IF(AND(ISNUMBER(R28),ISNUMBER(R29),R28&lt;&gt;R29),IF(R28&gt;R29,P28,P29),""))</f>
        <v/>
      </c>
      <c r="R30" s="1" t="n"/>
      <c r="S30" s="1" t="n"/>
      <c r="T30" s="233" t="n"/>
      <c r="U30" s="195" t="inlineStr">
        <is>
          <t>Winner</t>
        </is>
      </c>
      <c r="V30" s="78">
        <f>IF(X29&lt;&gt;"",X29,IF(AND(ISNUMBER(W28),ISNUMBER(W29),W28&lt;&gt;W29),IF(W28&gt;W29,U28,U29),""))</f>
        <v/>
      </c>
      <c r="W30" s="1" t="n"/>
      <c r="X30" s="1" t="n"/>
      <c r="Y30" s="233" t="n"/>
      <c r="Z30" s="144" t="inlineStr">
        <is>
          <t>Winner</t>
        </is>
      </c>
      <c r="AA30" s="78">
        <f>IF(AC29&lt;&gt;"",AC29,IF(AND(ISNUMBER(AB28),ISNUMBER(AB29),AB28&lt;&gt;AB29),IF(AB28&gt;AB29,Z28,Z29),""))</f>
        <v/>
      </c>
      <c r="AB30" s="1" t="n"/>
      <c r="AC30" s="1" t="n"/>
      <c r="AD30" s="233" t="n"/>
      <c r="AE30" s="233" t="n"/>
      <c r="AF30" s="233" t="n"/>
      <c r="AG30" s="233" t="n"/>
      <c r="AH30" s="233" t="n"/>
      <c r="AI30" s="233" t="n"/>
      <c r="AJ30" s="233" t="n"/>
      <c r="AK30" s="233" t="n"/>
      <c r="AL30" s="233" t="n"/>
      <c r="AM30" s="233" t="n"/>
      <c r="AN30" s="233" t="n"/>
      <c r="AO30" s="160" t="inlineStr">
        <is>
          <t>M86 | Round of 32</t>
        </is>
      </c>
      <c r="AP30" s="1" t="n"/>
      <c r="AQ30" s="1" t="n"/>
      <c r="AR30" s="1" t="n"/>
    </row>
    <row r="31" ht="18" customHeight="1" s="28">
      <c r="A31" s="170">
        <f>Setup!$D$7</f>
        <v/>
      </c>
      <c r="B31" s="1" t="n"/>
      <c r="C31" s="325">
        <f>IF('Knockout Pitch Map'!D34="","",'Knockout Pitch Map'!D34)</f>
        <v/>
      </c>
      <c r="D31" s="144" t="inlineStr">
        <is>
          <t>Pick</t>
        </is>
      </c>
      <c r="E31" s="233" t="n"/>
      <c r="F31" s="233" t="n"/>
      <c r="G31" s="233" t="n"/>
      <c r="H31" s="233" t="n"/>
      <c r="I31" s="233" t="n"/>
      <c r="J31" s="233" t="n"/>
      <c r="K31" s="233" t="n"/>
      <c r="L31" s="233" t="n"/>
      <c r="M31" s="233" t="n"/>
      <c r="N31" s="233" t="n"/>
      <c r="O31" s="233" t="n"/>
      <c r="P31" s="233" t="n"/>
      <c r="Q31" s="233" t="n"/>
      <c r="R31" s="233" t="n"/>
      <c r="S31" s="233" t="n"/>
      <c r="T31" s="233" t="n"/>
      <c r="U31" s="233" t="n"/>
      <c r="V31" s="233" t="n"/>
      <c r="W31" s="233" t="n"/>
      <c r="X31" s="233" t="n"/>
      <c r="Y31" s="233" t="n"/>
      <c r="Z31" s="233" t="n"/>
      <c r="AA31" s="233" t="n"/>
      <c r="AB31" s="233" t="n"/>
      <c r="AC31" s="233" t="n"/>
      <c r="AD31" s="233" t="n"/>
      <c r="AE31" s="233" t="n"/>
      <c r="AF31" s="233" t="n"/>
      <c r="AG31" s="233" t="n"/>
      <c r="AH31" s="233" t="n"/>
      <c r="AI31" s="233" t="n"/>
      <c r="AJ31" s="233" t="n"/>
      <c r="AK31" s="233" t="n"/>
      <c r="AL31" s="233" t="n"/>
      <c r="AM31" s="233" t="n"/>
      <c r="AN31" s="233" t="n"/>
      <c r="AO31" s="170">
        <f>Setup!$D$15</f>
        <v/>
      </c>
      <c r="AP31" s="1" t="n"/>
      <c r="AQ31" s="325">
        <f>IF('Knockout Pitch Map'!AR34="","",'Knockout Pitch Map'!AR34)</f>
        <v/>
      </c>
      <c r="AR31" s="144" t="inlineStr">
        <is>
          <t>Pick</t>
        </is>
      </c>
    </row>
    <row r="32" ht="18" customHeight="1" s="28">
      <c r="A32" s="170">
        <f>Setup!$E$7</f>
        <v/>
      </c>
      <c r="B32" s="1" t="n"/>
      <c r="C32" s="325">
        <f>IF('Knockout Pitch Map'!D35="","",'Knockout Pitch Map'!D35)</f>
        <v/>
      </c>
      <c r="D32" s="327">
        <f>IF('Knockout Pitch Map'!B36="","",'Knockout Pitch Map'!B36)</f>
        <v/>
      </c>
      <c r="E32" s="233" t="n"/>
      <c r="F32" s="233" t="n"/>
      <c r="G32" s="233" t="n"/>
      <c r="H32" s="233" t="n"/>
      <c r="I32" s="233" t="n"/>
      <c r="J32" s="233" t="n"/>
      <c r="K32" s="233" t="n"/>
      <c r="L32" s="233" t="n"/>
      <c r="M32" s="233" t="n"/>
      <c r="N32" s="233" t="n"/>
      <c r="O32" s="233" t="n"/>
      <c r="P32" s="233" t="n"/>
      <c r="Q32" s="233" t="n"/>
      <c r="R32" s="233" t="n"/>
      <c r="S32" s="233" t="n"/>
      <c r="T32" s="233" t="n"/>
      <c r="U32" s="233" t="n"/>
      <c r="V32" s="233" t="n"/>
      <c r="W32" s="233" t="n"/>
      <c r="X32" s="233" t="n"/>
      <c r="Y32" s="233" t="n"/>
      <c r="Z32" s="233" t="n"/>
      <c r="AA32" s="233" t="n"/>
      <c r="AB32" s="233" t="n"/>
      <c r="AC32" s="233" t="n"/>
      <c r="AD32" s="233" t="n"/>
      <c r="AE32" s="233" t="n"/>
      <c r="AF32" s="233" t="n"/>
      <c r="AG32" s="233" t="n"/>
      <c r="AH32" s="233" t="n"/>
      <c r="AI32" s="233" t="n"/>
      <c r="AJ32" s="233" t="n"/>
      <c r="AK32" s="233" t="n"/>
      <c r="AL32" s="233" t="n"/>
      <c r="AM32" s="233" t="n"/>
      <c r="AN32" s="233" t="n"/>
      <c r="AO32" s="170">
        <f>Setup!$E$15</f>
        <v/>
      </c>
      <c r="AP32" s="1" t="n"/>
      <c r="AQ32" s="325">
        <f>IF('Knockout Pitch Map'!AR35="","",'Knockout Pitch Map'!AR35)</f>
        <v/>
      </c>
      <c r="AR32" s="327">
        <f>IF('Knockout Pitch Map'!AP36="","",'Knockout Pitch Map'!AP36)</f>
        <v/>
      </c>
    </row>
    <row r="33" ht="18" customHeight="1" s="28">
      <c r="A33" s="144" t="inlineStr">
        <is>
          <t>Winner</t>
        </is>
      </c>
      <c r="B33" s="78">
        <f>IF(D32&lt;&gt;"",D32,IF(AND(ISNUMBER(C31),ISNUMBER(C32),C31&lt;&gt;C32),IF(C31&gt;C32,A31,A32),""))</f>
        <v/>
      </c>
      <c r="C33" s="1" t="n"/>
      <c r="D33" s="1" t="n"/>
      <c r="E33" s="233" t="n"/>
      <c r="F33" s="160" t="inlineStr">
        <is>
          <t>M93 | Round of 16</t>
        </is>
      </c>
      <c r="G33" s="1" t="n"/>
      <c r="H33" s="1" t="n"/>
      <c r="I33" s="1" t="n"/>
      <c r="J33" s="233" t="n"/>
      <c r="K33" s="233" t="n"/>
      <c r="L33" s="233" t="n"/>
      <c r="M33" s="233" t="n"/>
      <c r="N33" s="233" t="n"/>
      <c r="O33" s="233" t="n"/>
      <c r="P33" s="233" t="n"/>
      <c r="Q33" s="233" t="n"/>
      <c r="R33" s="233" t="n"/>
      <c r="S33" s="233" t="n"/>
      <c r="T33" s="233" t="n"/>
      <c r="U33" s="233" t="n"/>
      <c r="V33" s="233" t="n"/>
      <c r="W33" s="233" t="n"/>
      <c r="X33" s="233" t="n"/>
      <c r="Y33" s="233" t="n"/>
      <c r="Z33" s="233" t="n"/>
      <c r="AA33" s="233" t="n"/>
      <c r="AB33" s="233" t="n"/>
      <c r="AC33" s="233" t="n"/>
      <c r="AD33" s="233" t="n"/>
      <c r="AE33" s="233" t="n"/>
      <c r="AF33" s="233" t="n"/>
      <c r="AG33" s="233" t="n"/>
      <c r="AH33" s="233" t="n"/>
      <c r="AI33" s="233" t="n"/>
      <c r="AJ33" s="160" t="inlineStr">
        <is>
          <t>M95 | Round of 16</t>
        </is>
      </c>
      <c r="AK33" s="1" t="n"/>
      <c r="AL33" s="1" t="n"/>
      <c r="AM33" s="1" t="n"/>
      <c r="AN33" s="233" t="n"/>
      <c r="AO33" s="144" t="inlineStr">
        <is>
          <t>Winner</t>
        </is>
      </c>
      <c r="AP33" s="78">
        <f>IF(AR32&lt;&gt;"",AR32,IF(AND(ISNUMBER(AQ31),ISNUMBER(AQ32),AQ31&lt;&gt;AQ32),IF(AQ31&gt;AQ32,AO31,AO32),""))</f>
        <v/>
      </c>
      <c r="AQ33" s="1" t="n"/>
      <c r="AR33" s="1" t="n"/>
    </row>
    <row r="34" ht="18" customHeight="1" s="28">
      <c r="A34" s="233" t="n"/>
      <c r="B34" s="233" t="n"/>
      <c r="C34" s="233" t="n"/>
      <c r="D34" s="233" t="n"/>
      <c r="E34" s="233" t="n"/>
      <c r="F34" s="170">
        <f>IF(OR(B33="",B33=0),"",B33)</f>
        <v/>
      </c>
      <c r="G34" s="1" t="n"/>
      <c r="H34" s="325">
        <f>IF('Knockout Pitch Map'!I37="","",'Knockout Pitch Map'!I37)</f>
        <v/>
      </c>
      <c r="I34" s="144" t="inlineStr">
        <is>
          <t>Pick</t>
        </is>
      </c>
      <c r="J34" s="233" t="n"/>
      <c r="K34" s="233" t="n"/>
      <c r="L34" s="233" t="n"/>
      <c r="M34" s="233" t="n"/>
      <c r="N34" s="233" t="n"/>
      <c r="O34" s="233" t="n"/>
      <c r="P34" s="233" t="n"/>
      <c r="Q34" s="233" t="n"/>
      <c r="R34" s="233" t="n"/>
      <c r="S34" s="233" t="n"/>
      <c r="T34" s="233" t="n"/>
      <c r="U34" s="233" t="n"/>
      <c r="V34" s="233" t="n"/>
      <c r="W34" s="233" t="n"/>
      <c r="X34" s="233" t="n"/>
      <c r="Y34" s="233" t="n"/>
      <c r="Z34" s="233" t="n"/>
      <c r="AA34" s="233" t="n"/>
      <c r="AB34" s="233" t="n"/>
      <c r="AC34" s="233" t="n"/>
      <c r="AD34" s="233" t="n"/>
      <c r="AE34" s="233" t="n"/>
      <c r="AF34" s="233" t="n"/>
      <c r="AG34" s="233" t="n"/>
      <c r="AH34" s="233" t="n"/>
      <c r="AI34" s="233" t="n"/>
      <c r="AJ34" s="170">
        <f>IF(OR(AP33="",AP33=0),"",AP33)</f>
        <v/>
      </c>
      <c r="AK34" s="1" t="n"/>
      <c r="AL34" s="325">
        <f>IF('Knockout Pitch Map'!AM37="","",'Knockout Pitch Map'!AM37)</f>
        <v/>
      </c>
      <c r="AM34" s="144" t="inlineStr">
        <is>
          <t>Pick</t>
        </is>
      </c>
      <c r="AN34" s="233" t="n"/>
      <c r="AO34" s="233" t="n"/>
      <c r="AP34" s="233" t="n"/>
      <c r="AQ34" s="233" t="n"/>
      <c r="AR34" s="233" t="n"/>
    </row>
    <row r="35" ht="18" customHeight="1" s="28">
      <c r="A35" s="233" t="n"/>
      <c r="B35" s="233" t="n"/>
      <c r="C35" s="233" t="n"/>
      <c r="D35" s="233" t="n"/>
      <c r="E35" s="233" t="n"/>
      <c r="F35" s="170">
        <f>IF(OR(B39="",B39=0),"",B39)</f>
        <v/>
      </c>
      <c r="G35" s="1" t="n"/>
      <c r="H35" s="325">
        <f>IF('Knockout Pitch Map'!I38="","",'Knockout Pitch Map'!I38)</f>
        <v/>
      </c>
      <c r="I35" s="327">
        <f>IF('Knockout Pitch Map'!G39="","",'Knockout Pitch Map'!G39)</f>
        <v/>
      </c>
      <c r="J35" s="233" t="n"/>
      <c r="K35" s="233" t="n"/>
      <c r="L35" s="233" t="n"/>
      <c r="M35" s="233" t="n"/>
      <c r="N35" s="233" t="n"/>
      <c r="O35" s="233" t="n"/>
      <c r="P35" s="233" t="n"/>
      <c r="Q35" s="233" t="n"/>
      <c r="R35" s="233" t="n"/>
      <c r="S35" s="233" t="n"/>
      <c r="T35" s="233" t="n"/>
      <c r="U35" s="233" t="n"/>
      <c r="V35" s="233" t="n"/>
      <c r="W35" s="233" t="n"/>
      <c r="X35" s="233" t="n"/>
      <c r="Y35" s="233" t="n"/>
      <c r="Z35" s="233" t="n"/>
      <c r="AA35" s="233" t="n"/>
      <c r="AB35" s="233" t="n"/>
      <c r="AC35" s="233" t="n"/>
      <c r="AD35" s="233" t="n"/>
      <c r="AE35" s="233" t="n"/>
      <c r="AF35" s="233" t="n"/>
      <c r="AG35" s="233" t="n"/>
      <c r="AH35" s="233" t="n"/>
      <c r="AI35" s="233" t="n"/>
      <c r="AJ35" s="170">
        <f>IF(OR(AP39="",AP39=0),"",AP39)</f>
        <v/>
      </c>
      <c r="AK35" s="1" t="n"/>
      <c r="AL35" s="325">
        <f>IF('Knockout Pitch Map'!AM38="","",'Knockout Pitch Map'!AM38)</f>
        <v/>
      </c>
      <c r="AM35" s="327">
        <f>IF('Knockout Pitch Map'!AK39="","",'Knockout Pitch Map'!AK39)</f>
        <v/>
      </c>
      <c r="AN35" s="233" t="n"/>
      <c r="AO35" s="233" t="n"/>
      <c r="AP35" s="233" t="n"/>
      <c r="AQ35" s="233" t="n"/>
      <c r="AR35" s="233" t="n"/>
    </row>
    <row r="36" ht="18" customHeight="1" s="28">
      <c r="A36" s="160" t="inlineStr">
        <is>
          <t>M84 | Round of 32</t>
        </is>
      </c>
      <c r="B36" s="1" t="n"/>
      <c r="C36" s="1" t="n"/>
      <c r="D36" s="1" t="n"/>
      <c r="E36" s="233" t="n"/>
      <c r="F36" s="144" t="inlineStr">
        <is>
          <t>Winner</t>
        </is>
      </c>
      <c r="G36" s="78">
        <f>IF(I35&lt;&gt;"",I35,IF(AND(ISNUMBER(H34),ISNUMBER(H35),H34&lt;&gt;H35),IF(H34&gt;H35,F34,F35),""))</f>
        <v/>
      </c>
      <c r="H36" s="1" t="n"/>
      <c r="I36" s="1" t="n"/>
      <c r="J36" s="233" t="n"/>
      <c r="K36" s="233" t="n"/>
      <c r="L36" s="233" t="n"/>
      <c r="M36" s="233" t="n"/>
      <c r="N36" s="233" t="n"/>
      <c r="O36" s="233" t="n"/>
      <c r="P36" s="233" t="n"/>
      <c r="Q36" s="233" t="n"/>
      <c r="R36" s="233" t="n"/>
      <c r="S36" s="233" t="n"/>
      <c r="T36" s="233" t="n"/>
      <c r="U36" s="233" t="n"/>
      <c r="V36" s="233" t="n"/>
      <c r="W36" s="233" t="n"/>
      <c r="X36" s="233" t="n"/>
      <c r="Y36" s="233" t="n"/>
      <c r="Z36" s="233" t="n"/>
      <c r="AA36" s="233" t="n"/>
      <c r="AB36" s="233" t="n"/>
      <c r="AC36" s="233" t="n"/>
      <c r="AD36" s="233" t="n"/>
      <c r="AE36" s="233" t="n"/>
      <c r="AF36" s="233" t="n"/>
      <c r="AG36" s="233" t="n"/>
      <c r="AH36" s="233" t="n"/>
      <c r="AI36" s="233" t="n"/>
      <c r="AJ36" s="144" t="inlineStr">
        <is>
          <t>Winner</t>
        </is>
      </c>
      <c r="AK36" s="78">
        <f>IF(AM35&lt;&gt;"",AM35,IF(AND(ISNUMBER(AL34),ISNUMBER(AL35),AL34&lt;&gt;AL35),IF(AL34&gt;AL35,AJ34,AJ35),""))</f>
        <v/>
      </c>
      <c r="AL36" s="1" t="n"/>
      <c r="AM36" s="1" t="n"/>
      <c r="AN36" s="233" t="n"/>
      <c r="AO36" s="160" t="inlineStr">
        <is>
          <t>M88 | Round of 32</t>
        </is>
      </c>
      <c r="AP36" s="1" t="n"/>
      <c r="AQ36" s="1" t="n"/>
      <c r="AR36" s="1" t="n"/>
    </row>
    <row r="37" ht="18" customHeight="1" s="28">
      <c r="A37" s="170">
        <f>Setup!$D$8</f>
        <v/>
      </c>
      <c r="B37" s="1" t="n"/>
      <c r="C37" s="325">
        <f>IF('Knockout Pitch Map'!D41="","",'Knockout Pitch Map'!D41)</f>
        <v/>
      </c>
      <c r="D37" s="144" t="inlineStr">
        <is>
          <t>Pick</t>
        </is>
      </c>
      <c r="E37" s="233" t="n"/>
      <c r="F37" s="233" t="n"/>
      <c r="G37" s="233" t="n"/>
      <c r="H37" s="233" t="n"/>
      <c r="I37" s="233" t="n"/>
      <c r="J37" s="233" t="n"/>
      <c r="K37" s="233" t="n"/>
      <c r="L37" s="233" t="n"/>
      <c r="M37" s="233" t="n"/>
      <c r="N37" s="233" t="n"/>
      <c r="O37" s="233" t="n"/>
      <c r="P37" s="233" t="n"/>
      <c r="Q37" s="233" t="n"/>
      <c r="R37" s="233" t="n"/>
      <c r="S37" s="233" t="n"/>
      <c r="T37" s="233" t="n"/>
      <c r="U37" s="233" t="n"/>
      <c r="V37" s="233" t="n"/>
      <c r="W37" s="233" t="n"/>
      <c r="X37" s="233" t="n"/>
      <c r="Y37" s="233" t="n"/>
      <c r="Z37" s="233" t="n"/>
      <c r="AA37" s="233" t="n"/>
      <c r="AB37" s="233" t="n"/>
      <c r="AC37" s="233" t="n"/>
      <c r="AD37" s="233" t="n"/>
      <c r="AE37" s="233" t="n"/>
      <c r="AF37" s="233" t="n"/>
      <c r="AG37" s="233" t="n"/>
      <c r="AH37" s="233" t="n"/>
      <c r="AI37" s="233" t="n"/>
      <c r="AJ37" s="233" t="n"/>
      <c r="AK37" s="233" t="n"/>
      <c r="AL37" s="233" t="n"/>
      <c r="AM37" s="233" t="n"/>
      <c r="AN37" s="233" t="n"/>
      <c r="AO37" s="170">
        <f>Setup!$D$16</f>
        <v/>
      </c>
      <c r="AP37" s="1" t="n"/>
      <c r="AQ37" s="325">
        <f>IF('Knockout Pitch Map'!AR41="","",'Knockout Pitch Map'!AR41)</f>
        <v/>
      </c>
      <c r="AR37" s="144" t="inlineStr">
        <is>
          <t>Pick</t>
        </is>
      </c>
    </row>
    <row r="38" ht="18" customHeight="1" s="28">
      <c r="A38" s="170">
        <f>Setup!$E$8</f>
        <v/>
      </c>
      <c r="B38" s="1" t="n"/>
      <c r="C38" s="325">
        <f>IF('Knockout Pitch Map'!D42="","",'Knockout Pitch Map'!D42)</f>
        <v/>
      </c>
      <c r="D38" s="327">
        <f>IF('Knockout Pitch Map'!B43="","",'Knockout Pitch Map'!B43)</f>
        <v/>
      </c>
      <c r="E38" s="233" t="n"/>
      <c r="F38" s="233" t="n"/>
      <c r="G38" s="233" t="n"/>
      <c r="H38" s="233" t="n"/>
      <c r="I38" s="233" t="n"/>
      <c r="J38" s="233" t="n"/>
      <c r="K38" s="233" t="n"/>
      <c r="L38" s="233" t="n"/>
      <c r="M38" s="233" t="n"/>
      <c r="N38" s="233" t="n"/>
      <c r="O38" s="233" t="n"/>
      <c r="P38" s="233" t="n"/>
      <c r="Q38" s="233" t="n"/>
      <c r="R38" s="233" t="n"/>
      <c r="S38" s="233" t="n"/>
      <c r="T38" s="233" t="n"/>
      <c r="U38" s="224" t="inlineStr">
        <is>
          <t>M103 | Third place</t>
        </is>
      </c>
      <c r="V38" s="1" t="n"/>
      <c r="W38" s="1" t="n"/>
      <c r="X38" s="1" t="n"/>
      <c r="Y38" s="233" t="n"/>
      <c r="Z38" s="233" t="n"/>
      <c r="AA38" s="233" t="n"/>
      <c r="AB38" s="233" t="n"/>
      <c r="AC38" s="233" t="n"/>
      <c r="AD38" s="233" t="n"/>
      <c r="AE38" s="233" t="n"/>
      <c r="AF38" s="233" t="n"/>
      <c r="AG38" s="233" t="n"/>
      <c r="AH38" s="233" t="n"/>
      <c r="AI38" s="233" t="n"/>
      <c r="AJ38" s="233" t="n"/>
      <c r="AK38" s="233" t="n"/>
      <c r="AL38" s="233" t="n"/>
      <c r="AM38" s="233" t="n"/>
      <c r="AN38" s="233" t="n"/>
      <c r="AO38" s="170">
        <f>Setup!$E$16</f>
        <v/>
      </c>
      <c r="AP38" s="1" t="n"/>
      <c r="AQ38" s="325">
        <f>IF('Knockout Pitch Map'!AR42="","",'Knockout Pitch Map'!AR42)</f>
        <v/>
      </c>
      <c r="AR38" s="327">
        <f>IF('Knockout Pitch Map'!AP43="","",'Knockout Pitch Map'!AP43)</f>
        <v/>
      </c>
    </row>
    <row r="39" ht="18" customHeight="1" s="28">
      <c r="A39" s="144" t="inlineStr">
        <is>
          <t>Winner</t>
        </is>
      </c>
      <c r="B39" s="78">
        <f>IF(D38&lt;&gt;"",D38,IF(AND(ISNUMBER(C37),ISNUMBER(C38),C37&lt;&gt;C38),IF(C37&gt;C38,A37,A38),""))</f>
        <v/>
      </c>
      <c r="C39" s="1" t="n"/>
      <c r="D39" s="1" t="n"/>
      <c r="E39" s="233" t="n"/>
      <c r="F39" s="233" t="n"/>
      <c r="G39" s="233" t="n"/>
      <c r="H39" s="233" t="n"/>
      <c r="I39" s="233" t="n"/>
      <c r="J39" s="233" t="n"/>
      <c r="K39" s="160" t="inlineStr">
        <is>
          <t>M98 | Quarterfinal</t>
        </is>
      </c>
      <c r="L39" s="1" t="n"/>
      <c r="M39" s="1" t="n"/>
      <c r="N39" s="1" t="n"/>
      <c r="O39" s="233" t="n"/>
      <c r="P39" s="233" t="n"/>
      <c r="Q39" s="233" t="n"/>
      <c r="R39" s="233" t="n"/>
      <c r="S39" s="233" t="n"/>
      <c r="T39" s="233" t="n"/>
      <c r="U39" s="218">
        <f>IF(OR(Q30="",Q30=0),"",IF(Q30=P28,P29,IF(Q30=P29,P28,"")))</f>
        <v/>
      </c>
      <c r="V39" s="1" t="n"/>
      <c r="W39" s="329">
        <f>IF('Knockout Pitch Map'!X43="","",'Knockout Pitch Map'!X43)</f>
        <v/>
      </c>
      <c r="X39" s="213" t="inlineStr">
        <is>
          <t>Pick</t>
        </is>
      </c>
      <c r="Y39" s="233" t="n"/>
      <c r="Z39" s="233" t="n"/>
      <c r="AA39" s="233" t="n"/>
      <c r="AB39" s="233" t="n"/>
      <c r="AC39" s="233" t="n"/>
      <c r="AD39" s="233" t="n"/>
      <c r="AE39" s="160" t="inlineStr">
        <is>
          <t>M100 | Quarterfinal</t>
        </is>
      </c>
      <c r="AF39" s="1" t="n"/>
      <c r="AG39" s="1" t="n"/>
      <c r="AH39" s="1" t="n"/>
      <c r="AI39" s="233" t="n"/>
      <c r="AJ39" s="233" t="n"/>
      <c r="AK39" s="233" t="n"/>
      <c r="AL39" s="233" t="n"/>
      <c r="AM39" s="233" t="n"/>
      <c r="AN39" s="233" t="n"/>
      <c r="AO39" s="144" t="inlineStr">
        <is>
          <t>Winner</t>
        </is>
      </c>
      <c r="AP39" s="78">
        <f>IF(AR38&lt;&gt;"",AR38,IF(AND(ISNUMBER(AQ37),ISNUMBER(AQ38),AQ37&lt;&gt;AQ38),IF(AQ37&gt;AQ38,AO37,AO38),""))</f>
        <v/>
      </c>
      <c r="AQ39" s="1" t="n"/>
      <c r="AR39" s="1" t="n"/>
    </row>
    <row r="40" ht="18" customHeight="1" s="28">
      <c r="A40" s="233" t="n"/>
      <c r="B40" s="233" t="n"/>
      <c r="C40" s="233" t="n"/>
      <c r="D40" s="233" t="n"/>
      <c r="E40" s="233" t="n"/>
      <c r="F40" s="233" t="n"/>
      <c r="G40" s="233" t="n"/>
      <c r="H40" s="233" t="n"/>
      <c r="I40" s="233" t="n"/>
      <c r="J40" s="233" t="n"/>
      <c r="K40" s="170">
        <f>IF(OR(G36="",G36=0),"",G36)</f>
        <v/>
      </c>
      <c r="L40" s="1" t="n"/>
      <c r="M40" s="325">
        <f>IF('Knockout Pitch Map'!N44="","",'Knockout Pitch Map'!N44)</f>
        <v/>
      </c>
      <c r="N40" s="144" t="inlineStr">
        <is>
          <t>Pick</t>
        </is>
      </c>
      <c r="O40" s="233" t="n"/>
      <c r="P40" s="233" t="n"/>
      <c r="Q40" s="233" t="n"/>
      <c r="R40" s="233" t="n"/>
      <c r="S40" s="233" t="n"/>
      <c r="T40" s="233" t="n"/>
      <c r="U40" s="218">
        <f>IF(OR(AA30="",AA30=0),"",IF(AA30=Z28,Z29,IF(AA30=Z29,Z28,"")))</f>
        <v/>
      </c>
      <c r="V40" s="1" t="n"/>
      <c r="W40" s="329">
        <f>IF('Knockout Pitch Map'!X44="","",'Knockout Pitch Map'!X44)</f>
        <v/>
      </c>
      <c r="X40" s="327">
        <f>IF('Knockout Pitch Map'!V45="","",'Knockout Pitch Map'!V45)</f>
        <v/>
      </c>
      <c r="Y40" s="233" t="n"/>
      <c r="Z40" s="233" t="n"/>
      <c r="AA40" s="233" t="n"/>
      <c r="AB40" s="233" t="n"/>
      <c r="AC40" s="233" t="n"/>
      <c r="AD40" s="233" t="n"/>
      <c r="AE40" s="170">
        <f>IF(OR(AK36="",AK36=0),"",AK36)</f>
        <v/>
      </c>
      <c r="AF40" s="1" t="n"/>
      <c r="AG40" s="325">
        <f>IF('Knockout Pitch Map'!AH44="","",'Knockout Pitch Map'!AH44)</f>
        <v/>
      </c>
      <c r="AH40" s="144" t="inlineStr">
        <is>
          <t>Pick</t>
        </is>
      </c>
      <c r="AI40" s="233" t="n"/>
      <c r="AJ40" s="233" t="n"/>
      <c r="AK40" s="233" t="n"/>
      <c r="AL40" s="233" t="n"/>
      <c r="AM40" s="233" t="n"/>
      <c r="AN40" s="233" t="n"/>
      <c r="AO40" s="233" t="n"/>
      <c r="AP40" s="233" t="n"/>
      <c r="AQ40" s="233" t="n"/>
      <c r="AR40" s="233" t="n"/>
    </row>
    <row r="41" ht="18" customHeight="1" s="28">
      <c r="A41" s="233" t="n"/>
      <c r="B41" s="233" t="n"/>
      <c r="C41" s="233" t="n"/>
      <c r="D41" s="233" t="n"/>
      <c r="E41" s="233" t="n"/>
      <c r="F41" s="233" t="n"/>
      <c r="G41" s="233" t="n"/>
      <c r="H41" s="233" t="n"/>
      <c r="I41" s="233" t="n"/>
      <c r="J41" s="233" t="n"/>
      <c r="K41" s="170">
        <f>IF(OR(G48="",G48=0),"",G48)</f>
        <v/>
      </c>
      <c r="L41" s="1" t="n"/>
      <c r="M41" s="325">
        <f>IF('Knockout Pitch Map'!N45="","",'Knockout Pitch Map'!N45)</f>
        <v/>
      </c>
      <c r="N41" s="327">
        <f>IF('Knockout Pitch Map'!L46="","",'Knockout Pitch Map'!L46)</f>
        <v/>
      </c>
      <c r="O41" s="233" t="n"/>
      <c r="P41" s="233" t="n"/>
      <c r="Q41" s="233" t="n"/>
      <c r="R41" s="233" t="n"/>
      <c r="S41" s="233" t="n"/>
      <c r="T41" s="233" t="n"/>
      <c r="U41" s="213" t="inlineStr">
        <is>
          <t>Winner</t>
        </is>
      </c>
      <c r="V41" s="78">
        <f>IF(X40&lt;&gt;"",X40,IF(AND(ISNUMBER(W39),ISNUMBER(W40),W39&lt;&gt;W40),IF(W39&gt;W40,U39,U40),""))</f>
        <v/>
      </c>
      <c r="W41" s="1" t="n"/>
      <c r="X41" s="1" t="n"/>
      <c r="Y41" s="233" t="n"/>
      <c r="Z41" s="233" t="n"/>
      <c r="AA41" s="233" t="n"/>
      <c r="AB41" s="233" t="n"/>
      <c r="AC41" s="233" t="n"/>
      <c r="AD41" s="233" t="n"/>
      <c r="AE41" s="170">
        <f>IF(OR(AK48="",AK48=0),"",AK48)</f>
        <v/>
      </c>
      <c r="AF41" s="1" t="n"/>
      <c r="AG41" s="325">
        <f>IF('Knockout Pitch Map'!AH45="","",'Knockout Pitch Map'!AH45)</f>
        <v/>
      </c>
      <c r="AH41" s="327">
        <f>IF('Knockout Pitch Map'!AF46="","",'Knockout Pitch Map'!AF46)</f>
        <v/>
      </c>
      <c r="AI41" s="233" t="n"/>
      <c r="AJ41" s="233" t="n"/>
      <c r="AK41" s="233" t="n"/>
      <c r="AL41" s="233" t="n"/>
      <c r="AM41" s="233" t="n"/>
      <c r="AN41" s="233" t="n"/>
      <c r="AO41" s="233" t="n"/>
      <c r="AP41" s="233" t="n"/>
      <c r="AQ41" s="233" t="n"/>
      <c r="AR41" s="233" t="n"/>
    </row>
    <row r="42" ht="18" customHeight="1" s="28">
      <c r="A42" s="160" t="inlineStr">
        <is>
          <t>M81 | Round of 32</t>
        </is>
      </c>
      <c r="B42" s="1" t="n"/>
      <c r="C42" s="1" t="n"/>
      <c r="D42" s="1" t="n"/>
      <c r="E42" s="233" t="n"/>
      <c r="F42" s="233" t="n"/>
      <c r="G42" s="233" t="n"/>
      <c r="H42" s="233" t="n"/>
      <c r="I42" s="233" t="n"/>
      <c r="J42" s="233" t="n"/>
      <c r="K42" s="144" t="inlineStr">
        <is>
          <t>Winner</t>
        </is>
      </c>
      <c r="L42" s="78">
        <f>IF(N41&lt;&gt;"",N41,IF(AND(ISNUMBER(M40),ISNUMBER(M41),M40&lt;&gt;M41),IF(M40&gt;M41,K40,K41),""))</f>
        <v/>
      </c>
      <c r="M42" s="1" t="n"/>
      <c r="N42" s="1" t="n"/>
      <c r="O42" s="233" t="n"/>
      <c r="P42" s="233" t="n"/>
      <c r="Q42" s="233" t="n"/>
      <c r="R42" s="233" t="n"/>
      <c r="S42" s="233" t="n"/>
      <c r="T42" s="233" t="n"/>
      <c r="U42" s="233" t="n"/>
      <c r="V42" s="233" t="n"/>
      <c r="W42" s="233" t="n"/>
      <c r="X42" s="233" t="n"/>
      <c r="Y42" s="233" t="n"/>
      <c r="Z42" s="233" t="n"/>
      <c r="AA42" s="233" t="n"/>
      <c r="AB42" s="233" t="n"/>
      <c r="AC42" s="233" t="n"/>
      <c r="AD42" s="233" t="n"/>
      <c r="AE42" s="144" t="inlineStr">
        <is>
          <t>Winner</t>
        </is>
      </c>
      <c r="AF42" s="78">
        <f>IF(AH41&lt;&gt;"",AH41,IF(AND(ISNUMBER(AG40),ISNUMBER(AG41),AG40&lt;&gt;AG41),IF(AG40&gt;AG41,AE40,AE41),""))</f>
        <v/>
      </c>
      <c r="AG42" s="1" t="n"/>
      <c r="AH42" s="1" t="n"/>
      <c r="AI42" s="233" t="n"/>
      <c r="AJ42" s="233" t="n"/>
      <c r="AK42" s="233" t="n"/>
      <c r="AL42" s="233" t="n"/>
      <c r="AM42" s="233" t="n"/>
      <c r="AN42" s="233" t="n"/>
      <c r="AO42" s="160" t="inlineStr">
        <is>
          <t>M85 | Round of 32</t>
        </is>
      </c>
      <c r="AP42" s="1" t="n"/>
      <c r="AQ42" s="1" t="n"/>
      <c r="AR42" s="1" t="n"/>
    </row>
    <row r="43" ht="18" customHeight="1" s="28">
      <c r="A43" s="170">
        <f>Setup!$D$9</f>
        <v/>
      </c>
      <c r="B43" s="1" t="n"/>
      <c r="C43" s="325">
        <f>IF('Knockout Pitch Map'!D48="","",'Knockout Pitch Map'!D48)</f>
        <v/>
      </c>
      <c r="D43" s="144" t="inlineStr">
        <is>
          <t>Pick</t>
        </is>
      </c>
      <c r="E43" s="233" t="n"/>
      <c r="F43" s="233" t="n"/>
      <c r="G43" s="233" t="n"/>
      <c r="H43" s="233" t="n"/>
      <c r="I43" s="233" t="n"/>
      <c r="J43" s="233" t="n"/>
      <c r="K43" s="233" t="n"/>
      <c r="L43" s="233" t="n"/>
      <c r="M43" s="233" t="n"/>
      <c r="N43" s="233" t="n"/>
      <c r="O43" s="233" t="n"/>
      <c r="P43" s="233" t="n"/>
      <c r="Q43" s="233" t="n"/>
      <c r="R43" s="233" t="n"/>
      <c r="S43" s="233" t="n"/>
      <c r="T43" s="233" t="n"/>
      <c r="U43" s="233" t="n"/>
      <c r="V43" s="233" t="n"/>
      <c r="W43" s="233" t="n"/>
      <c r="X43" s="233" t="n"/>
      <c r="Y43" s="233" t="n"/>
      <c r="Z43" s="233" t="n"/>
      <c r="AA43" s="233" t="n"/>
      <c r="AB43" s="233" t="n"/>
      <c r="AC43" s="233" t="n"/>
      <c r="AD43" s="233" t="n"/>
      <c r="AE43" s="233" t="n"/>
      <c r="AF43" s="233" t="n"/>
      <c r="AG43" s="233" t="n"/>
      <c r="AH43" s="233" t="n"/>
      <c r="AI43" s="233" t="n"/>
      <c r="AJ43" s="233" t="n"/>
      <c r="AK43" s="233" t="n"/>
      <c r="AL43" s="233" t="n"/>
      <c r="AM43" s="233" t="n"/>
      <c r="AN43" s="233" t="n"/>
      <c r="AO43" s="170">
        <f>Setup!$D$17</f>
        <v/>
      </c>
      <c r="AP43" s="1" t="n"/>
      <c r="AQ43" s="325">
        <f>IF('Knockout Pitch Map'!AR48="","",'Knockout Pitch Map'!AR48)</f>
        <v/>
      </c>
      <c r="AR43" s="144" t="inlineStr">
        <is>
          <t>Pick</t>
        </is>
      </c>
    </row>
    <row r="44" ht="18" customHeight="1" s="28">
      <c r="A44" s="170">
        <f>Setup!$E$9</f>
        <v/>
      </c>
      <c r="B44" s="1" t="n"/>
      <c r="C44" s="325">
        <f>IF('Knockout Pitch Map'!D49="","",'Knockout Pitch Map'!D49)</f>
        <v/>
      </c>
      <c r="D44" s="327">
        <f>IF('Knockout Pitch Map'!B50="","",'Knockout Pitch Map'!B50)</f>
        <v/>
      </c>
      <c r="E44" s="233" t="n"/>
      <c r="F44" s="233" t="n"/>
      <c r="G44" s="233" t="n"/>
      <c r="H44" s="233" t="n"/>
      <c r="I44" s="233" t="n"/>
      <c r="J44" s="233" t="n"/>
      <c r="K44" s="233" t="n"/>
      <c r="L44" s="233" t="n"/>
      <c r="M44" s="233" t="n"/>
      <c r="N44" s="233" t="n"/>
      <c r="O44" s="233" t="n"/>
      <c r="P44" s="233" t="n"/>
      <c r="Q44" s="233" t="n"/>
      <c r="R44" s="233" t="n"/>
      <c r="S44" s="233" t="n"/>
      <c r="T44" s="233" t="n"/>
      <c r="U44" s="233" t="n"/>
      <c r="V44" s="233" t="n"/>
      <c r="W44" s="233" t="n"/>
      <c r="X44" s="233" t="n"/>
      <c r="Y44" s="233" t="n"/>
      <c r="Z44" s="233" t="n"/>
      <c r="AA44" s="233" t="n"/>
      <c r="AB44" s="233" t="n"/>
      <c r="AC44" s="233" t="n"/>
      <c r="AD44" s="233" t="n"/>
      <c r="AE44" s="233" t="n"/>
      <c r="AF44" s="233" t="n"/>
      <c r="AG44" s="233" t="n"/>
      <c r="AH44" s="233" t="n"/>
      <c r="AI44" s="233" t="n"/>
      <c r="AJ44" s="233" t="n"/>
      <c r="AK44" s="233" t="n"/>
      <c r="AL44" s="233" t="n"/>
      <c r="AM44" s="233" t="n"/>
      <c r="AN44" s="233" t="n"/>
      <c r="AO44" s="170">
        <f>Setup!$E$17</f>
        <v/>
      </c>
      <c r="AP44" s="1" t="n"/>
      <c r="AQ44" s="325">
        <f>IF('Knockout Pitch Map'!AR49="","",'Knockout Pitch Map'!AR49)</f>
        <v/>
      </c>
      <c r="AR44" s="327">
        <f>IF('Knockout Pitch Map'!AP50="","",'Knockout Pitch Map'!AP50)</f>
        <v/>
      </c>
    </row>
    <row r="45" ht="18" customHeight="1" s="28">
      <c r="A45" s="144" t="inlineStr">
        <is>
          <t>Winner</t>
        </is>
      </c>
      <c r="B45" s="78">
        <f>IF(D44&lt;&gt;"",D44,IF(AND(ISNUMBER(C43),ISNUMBER(C44),C43&lt;&gt;C44),IF(C43&gt;C44,A43,A44),""))</f>
        <v/>
      </c>
      <c r="C45" s="1" t="n"/>
      <c r="D45" s="1" t="n"/>
      <c r="E45" s="233" t="n"/>
      <c r="F45" s="160" t="inlineStr">
        <is>
          <t>M94 | Round of 16</t>
        </is>
      </c>
      <c r="G45" s="1" t="n"/>
      <c r="H45" s="1" t="n"/>
      <c r="I45" s="1" t="n"/>
      <c r="J45" s="233" t="n"/>
      <c r="K45" s="233" t="n"/>
      <c r="L45" s="233" t="n"/>
      <c r="M45" s="233" t="n"/>
      <c r="N45" s="233" t="n"/>
      <c r="O45" s="233" t="n"/>
      <c r="P45" s="233" t="n"/>
      <c r="Q45" s="233" t="n"/>
      <c r="R45" s="233" t="n"/>
      <c r="S45" s="233" t="n"/>
      <c r="T45" s="233" t="n"/>
      <c r="U45" s="233" t="n"/>
      <c r="V45" s="233" t="n"/>
      <c r="W45" s="233" t="n"/>
      <c r="X45" s="233" t="n"/>
      <c r="Y45" s="233" t="n"/>
      <c r="Z45" s="233" t="n"/>
      <c r="AA45" s="233" t="n"/>
      <c r="AB45" s="233" t="n"/>
      <c r="AC45" s="233" t="n"/>
      <c r="AD45" s="233" t="n"/>
      <c r="AE45" s="233" t="n"/>
      <c r="AF45" s="233" t="n"/>
      <c r="AG45" s="233" t="n"/>
      <c r="AH45" s="233" t="n"/>
      <c r="AI45" s="233" t="n"/>
      <c r="AJ45" s="160" t="inlineStr">
        <is>
          <t>M96 | Round of 16</t>
        </is>
      </c>
      <c r="AK45" s="1" t="n"/>
      <c r="AL45" s="1" t="n"/>
      <c r="AM45" s="1" t="n"/>
      <c r="AN45" s="233" t="n"/>
      <c r="AO45" s="144" t="inlineStr">
        <is>
          <t>Winner</t>
        </is>
      </c>
      <c r="AP45" s="78">
        <f>IF(AR44&lt;&gt;"",AR44,IF(AND(ISNUMBER(AQ43),ISNUMBER(AQ44),AQ43&lt;&gt;AQ44),IF(AQ43&gt;AQ44,AO43,AO44),""))</f>
        <v/>
      </c>
      <c r="AQ45" s="1" t="n"/>
      <c r="AR45" s="1" t="n"/>
    </row>
    <row r="46" ht="18" customHeight="1" s="28">
      <c r="A46" s="233" t="n"/>
      <c r="B46" s="233" t="n"/>
      <c r="C46" s="233" t="n"/>
      <c r="D46" s="233" t="n"/>
      <c r="E46" s="233" t="n"/>
      <c r="F46" s="170">
        <f>IF(OR(B45="",B45=0),"",B45)</f>
        <v/>
      </c>
      <c r="G46" s="1" t="n"/>
      <c r="H46" s="325">
        <f>IF('Knockout Pitch Map'!I51="","",'Knockout Pitch Map'!I51)</f>
        <v/>
      </c>
      <c r="I46" s="144" t="inlineStr">
        <is>
          <t>Pick</t>
        </is>
      </c>
      <c r="J46" s="233" t="n"/>
      <c r="K46" s="233" t="n"/>
      <c r="L46" s="233" t="n"/>
      <c r="M46" s="233" t="n"/>
      <c r="N46" s="233" t="n"/>
      <c r="O46" s="233" t="n"/>
      <c r="P46" s="233" t="n"/>
      <c r="Q46" s="233" t="n"/>
      <c r="R46" s="233" t="n"/>
      <c r="S46" s="233" t="n"/>
      <c r="T46" s="233" t="n"/>
      <c r="U46" s="233" t="n"/>
      <c r="V46" s="233" t="n"/>
      <c r="W46" s="233" t="n"/>
      <c r="X46" s="233" t="n"/>
      <c r="Y46" s="233" t="n"/>
      <c r="Z46" s="233" t="n"/>
      <c r="AA46" s="233" t="n"/>
      <c r="AB46" s="233" t="n"/>
      <c r="AC46" s="233" t="n"/>
      <c r="AD46" s="233" t="n"/>
      <c r="AE46" s="233" t="n"/>
      <c r="AF46" s="233" t="n"/>
      <c r="AG46" s="233" t="n"/>
      <c r="AH46" s="233" t="n"/>
      <c r="AI46" s="233" t="n"/>
      <c r="AJ46" s="170">
        <f>IF(OR(AP45="",AP45=0),"",AP45)</f>
        <v/>
      </c>
      <c r="AK46" s="1" t="n"/>
      <c r="AL46" s="325">
        <f>IF('Knockout Pitch Map'!AM51="","",'Knockout Pitch Map'!AM51)</f>
        <v/>
      </c>
      <c r="AM46" s="144" t="inlineStr">
        <is>
          <t>Pick</t>
        </is>
      </c>
      <c r="AN46" s="233" t="n"/>
      <c r="AO46" s="233" t="n"/>
      <c r="AP46" s="233" t="n"/>
      <c r="AQ46" s="233" t="n"/>
      <c r="AR46" s="233" t="n"/>
    </row>
    <row r="47" ht="18" customHeight="1" s="28">
      <c r="A47" s="233" t="n"/>
      <c r="B47" s="233" t="n"/>
      <c r="C47" s="233" t="n"/>
      <c r="D47" s="233" t="n"/>
      <c r="E47" s="233" t="n"/>
      <c r="F47" s="170">
        <f>IF(OR(B51="",B51=0),"",B51)</f>
        <v/>
      </c>
      <c r="G47" s="1" t="n"/>
      <c r="H47" s="325">
        <f>IF('Knockout Pitch Map'!I52="","",'Knockout Pitch Map'!I52)</f>
        <v/>
      </c>
      <c r="I47" s="327">
        <f>IF('Knockout Pitch Map'!G53="","",'Knockout Pitch Map'!G53)</f>
        <v/>
      </c>
      <c r="J47" s="233" t="n"/>
      <c r="K47" s="233" t="n"/>
      <c r="L47" s="233" t="n"/>
      <c r="M47" s="233" t="n"/>
      <c r="N47" s="233" t="n"/>
      <c r="O47" s="233" t="n"/>
      <c r="P47" s="233" t="n"/>
      <c r="Q47" s="233" t="n"/>
      <c r="R47" s="233" t="n"/>
      <c r="S47" s="233" t="n"/>
      <c r="T47" s="233" t="n"/>
      <c r="U47" s="233" t="n"/>
      <c r="V47" s="233" t="n"/>
      <c r="W47" s="233" t="n"/>
      <c r="X47" s="233" t="n"/>
      <c r="Y47" s="233" t="n"/>
      <c r="Z47" s="233" t="n"/>
      <c r="AA47" s="233" t="n"/>
      <c r="AB47" s="233" t="n"/>
      <c r="AC47" s="233" t="n"/>
      <c r="AD47" s="233" t="n"/>
      <c r="AE47" s="233" t="n"/>
      <c r="AF47" s="233" t="n"/>
      <c r="AG47" s="233" t="n"/>
      <c r="AH47" s="233" t="n"/>
      <c r="AI47" s="233" t="n"/>
      <c r="AJ47" s="170">
        <f>IF(OR(AP51="",AP51=0),"",AP51)</f>
        <v/>
      </c>
      <c r="AK47" s="1" t="n"/>
      <c r="AL47" s="325">
        <f>IF('Knockout Pitch Map'!AM52="","",'Knockout Pitch Map'!AM52)</f>
        <v/>
      </c>
      <c r="AM47" s="327">
        <f>IF('Knockout Pitch Map'!AK53="","",'Knockout Pitch Map'!AK53)</f>
        <v/>
      </c>
      <c r="AN47" s="233" t="n"/>
      <c r="AO47" s="233" t="n"/>
      <c r="AP47" s="233" t="n"/>
      <c r="AQ47" s="233" t="n"/>
      <c r="AR47" s="233" t="n"/>
    </row>
    <row r="48" ht="18" customHeight="1" s="28">
      <c r="A48" s="160" t="inlineStr">
        <is>
          <t>M82 | Round of 32</t>
        </is>
      </c>
      <c r="B48" s="1" t="n"/>
      <c r="C48" s="1" t="n"/>
      <c r="D48" s="1" t="n"/>
      <c r="E48" s="233" t="n"/>
      <c r="F48" s="144" t="inlineStr">
        <is>
          <t>Winner</t>
        </is>
      </c>
      <c r="G48" s="78">
        <f>IF(I47&lt;&gt;"",I47,IF(AND(ISNUMBER(H46),ISNUMBER(H47),H46&lt;&gt;H47),IF(H46&gt;H47,F46,F47),""))</f>
        <v/>
      </c>
      <c r="H48" s="1" t="n"/>
      <c r="I48" s="1" t="n"/>
      <c r="J48" s="233" t="n"/>
      <c r="K48" s="233" t="n"/>
      <c r="L48" s="233" t="n"/>
      <c r="M48" s="233" t="n"/>
      <c r="N48" s="233" t="n"/>
      <c r="O48" s="233" t="n"/>
      <c r="P48" s="233" t="n"/>
      <c r="Q48" s="233" t="n"/>
      <c r="R48" s="233" t="n"/>
      <c r="S48" s="233" t="n"/>
      <c r="T48" s="233" t="n"/>
      <c r="U48" s="233" t="n"/>
      <c r="V48" s="233" t="n"/>
      <c r="W48" s="233" t="n"/>
      <c r="X48" s="233" t="n"/>
      <c r="Y48" s="233" t="n"/>
      <c r="Z48" s="233" t="n"/>
      <c r="AA48" s="233" t="n"/>
      <c r="AB48" s="233" t="n"/>
      <c r="AC48" s="233" t="n"/>
      <c r="AD48" s="233" t="n"/>
      <c r="AE48" s="233" t="n"/>
      <c r="AF48" s="233" t="n"/>
      <c r="AG48" s="233" t="n"/>
      <c r="AH48" s="233" t="n"/>
      <c r="AI48" s="233" t="n"/>
      <c r="AJ48" s="144" t="inlineStr">
        <is>
          <t>Winner</t>
        </is>
      </c>
      <c r="AK48" s="78">
        <f>IF(AM47&lt;&gt;"",AM47,IF(AND(ISNUMBER(AL46),ISNUMBER(AL47),AL46&lt;&gt;AL47),IF(AL46&gt;AL47,AJ46,AJ47),""))</f>
        <v/>
      </c>
      <c r="AL48" s="1" t="n"/>
      <c r="AM48" s="1" t="n"/>
      <c r="AN48" s="233" t="n"/>
      <c r="AO48" s="160" t="inlineStr">
        <is>
          <t>M87 | Round of 32</t>
        </is>
      </c>
      <c r="AP48" s="1" t="n"/>
      <c r="AQ48" s="1" t="n"/>
      <c r="AR48" s="1" t="n"/>
    </row>
    <row r="49" ht="18" customHeight="1" s="28">
      <c r="A49" s="170">
        <f>Setup!$D$10</f>
        <v/>
      </c>
      <c r="B49" s="1" t="n"/>
      <c r="C49" s="325">
        <f>IF('Knockout Pitch Map'!D55="","",'Knockout Pitch Map'!D55)</f>
        <v/>
      </c>
      <c r="D49" s="144" t="inlineStr">
        <is>
          <t>Pick</t>
        </is>
      </c>
      <c r="E49" s="233" t="n"/>
      <c r="F49" s="233" t="n"/>
      <c r="G49" s="233" t="n"/>
      <c r="H49" s="233" t="n"/>
      <c r="I49" s="233" t="n"/>
      <c r="J49" s="233" t="n"/>
      <c r="K49" s="233" t="n"/>
      <c r="L49" s="233" t="n"/>
      <c r="M49" s="233" t="n"/>
      <c r="N49" s="233" t="n"/>
      <c r="O49" s="233" t="n"/>
      <c r="P49" s="233" t="n"/>
      <c r="Q49" s="233" t="n"/>
      <c r="R49" s="233" t="n"/>
      <c r="S49" s="233" t="n"/>
      <c r="T49" s="233" t="n"/>
      <c r="U49" s="233" t="n"/>
      <c r="V49" s="233" t="n"/>
      <c r="W49" s="233" t="n"/>
      <c r="X49" s="233" t="n"/>
      <c r="Y49" s="233" t="n"/>
      <c r="Z49" s="233" t="n"/>
      <c r="AA49" s="233" t="n"/>
      <c r="AB49" s="233" t="n"/>
      <c r="AC49" s="233" t="n"/>
      <c r="AD49" s="233" t="n"/>
      <c r="AE49" s="233" t="n"/>
      <c r="AF49" s="233" t="n"/>
      <c r="AG49" s="233" t="n"/>
      <c r="AH49" s="233" t="n"/>
      <c r="AI49" s="233" t="n"/>
      <c r="AJ49" s="233" t="n"/>
      <c r="AK49" s="233" t="n"/>
      <c r="AL49" s="233" t="n"/>
      <c r="AM49" s="233" t="n"/>
      <c r="AN49" s="233" t="n"/>
      <c r="AO49" s="170">
        <f>Setup!$D$18</f>
        <v/>
      </c>
      <c r="AP49" s="1" t="n"/>
      <c r="AQ49" s="325">
        <f>IF('Knockout Pitch Map'!AR55="","",'Knockout Pitch Map'!AR55)</f>
        <v/>
      </c>
      <c r="AR49" s="144" t="inlineStr">
        <is>
          <t>Pick</t>
        </is>
      </c>
    </row>
    <row r="50" ht="18" customHeight="1" s="28">
      <c r="A50" s="170">
        <f>Setup!$E$10</f>
        <v/>
      </c>
      <c r="B50" s="1" t="n"/>
      <c r="C50" s="325">
        <f>IF('Knockout Pitch Map'!D56="","",'Knockout Pitch Map'!D56)</f>
        <v/>
      </c>
      <c r="D50" s="327">
        <f>IF('Knockout Pitch Map'!B57="","",'Knockout Pitch Map'!B57)</f>
        <v/>
      </c>
      <c r="E50" s="233" t="n"/>
      <c r="F50" s="233" t="n"/>
      <c r="G50" s="233" t="n"/>
      <c r="H50" s="233" t="n"/>
      <c r="I50" s="233" t="n"/>
      <c r="J50" s="233" t="n"/>
      <c r="K50" s="233" t="n"/>
      <c r="L50" s="233" t="n"/>
      <c r="M50" s="233" t="n"/>
      <c r="N50" s="233" t="n"/>
      <c r="O50" s="233" t="n"/>
      <c r="P50" s="233" t="n"/>
      <c r="Q50" s="233" t="n"/>
      <c r="R50" s="233" t="n"/>
      <c r="S50" s="233" t="n"/>
      <c r="T50" s="233" t="n"/>
      <c r="U50" s="233" t="n"/>
      <c r="V50" s="233" t="n"/>
      <c r="W50" s="233" t="n"/>
      <c r="X50" s="233" t="n"/>
      <c r="Y50" s="233" t="n"/>
      <c r="Z50" s="233" t="n"/>
      <c r="AA50" s="233" t="n"/>
      <c r="AB50" s="233" t="n"/>
      <c r="AC50" s="233" t="n"/>
      <c r="AD50" s="233" t="n"/>
      <c r="AE50" s="233" t="n"/>
      <c r="AF50" s="233" t="n"/>
      <c r="AG50" s="233" t="n"/>
      <c r="AH50" s="233" t="n"/>
      <c r="AI50" s="233" t="n"/>
      <c r="AJ50" s="233" t="n"/>
      <c r="AK50" s="233" t="n"/>
      <c r="AL50" s="233" t="n"/>
      <c r="AM50" s="233" t="n"/>
      <c r="AN50" s="233" t="n"/>
      <c r="AO50" s="170">
        <f>Setup!$E$18</f>
        <v/>
      </c>
      <c r="AP50" s="1" t="n"/>
      <c r="AQ50" s="325">
        <f>IF('Knockout Pitch Map'!AR56="","",'Knockout Pitch Map'!AR56)</f>
        <v/>
      </c>
      <c r="AR50" s="327">
        <f>IF('Knockout Pitch Map'!AP57="","",'Knockout Pitch Map'!AP57)</f>
        <v/>
      </c>
    </row>
    <row r="51" ht="18" customHeight="1" s="28">
      <c r="A51" s="144" t="inlineStr">
        <is>
          <t>Winner</t>
        </is>
      </c>
      <c r="B51" s="78">
        <f>IF(D50&lt;&gt;"",D50,IF(AND(ISNUMBER(C49),ISNUMBER(C50),C49&lt;&gt;C50),IF(C49&gt;C50,A49,A50),""))</f>
        <v/>
      </c>
      <c r="C51" s="1" t="n"/>
      <c r="D51" s="1" t="n"/>
      <c r="E51" s="233" t="n"/>
      <c r="F51" s="233" t="n"/>
      <c r="G51" s="233" t="n"/>
      <c r="H51" s="233" t="n"/>
      <c r="I51" s="233" t="n"/>
      <c r="J51" s="233" t="n"/>
      <c r="K51" s="233" t="n"/>
      <c r="L51" s="233" t="n"/>
      <c r="M51" s="233" t="n"/>
      <c r="N51" s="233" t="n"/>
      <c r="O51" s="233" t="n"/>
      <c r="P51" s="233" t="n"/>
      <c r="Q51" s="233" t="n"/>
      <c r="R51" s="233" t="n"/>
      <c r="S51" s="233" t="n"/>
      <c r="T51" s="233" t="n"/>
      <c r="U51" s="233" t="n"/>
      <c r="V51" s="233" t="n"/>
      <c r="W51" s="233" t="n"/>
      <c r="X51" s="233" t="n"/>
      <c r="Y51" s="233" t="n"/>
      <c r="Z51" s="233" t="n"/>
      <c r="AA51" s="233" t="n"/>
      <c r="AB51" s="233" t="n"/>
      <c r="AC51" s="233" t="n"/>
      <c r="AD51" s="233" t="n"/>
      <c r="AE51" s="233" t="n"/>
      <c r="AF51" s="233" t="n"/>
      <c r="AG51" s="233" t="n"/>
      <c r="AH51" s="233" t="n"/>
      <c r="AI51" s="233" t="n"/>
      <c r="AJ51" s="233" t="n"/>
      <c r="AK51" s="233" t="n"/>
      <c r="AL51" s="233" t="n"/>
      <c r="AM51" s="233" t="n"/>
      <c r="AN51" s="233" t="n"/>
      <c r="AO51" s="144" t="inlineStr">
        <is>
          <t>Winner</t>
        </is>
      </c>
      <c r="AP51" s="78">
        <f>IF(AR50&lt;&gt;"",AR50,IF(AND(ISNUMBER(AQ49),ISNUMBER(AQ50),AQ49&lt;&gt;AQ50),IF(AQ49&gt;AQ50,AO49,AO50),""))</f>
        <v/>
      </c>
      <c r="AQ51" s="1" t="n"/>
      <c r="AR51" s="1" t="n"/>
    </row>
    <row r="52" ht="18" customHeight="1" s="28">
      <c r="A52" s="233" t="n"/>
      <c r="B52" s="233" t="n"/>
      <c r="C52" s="233" t="n"/>
      <c r="D52" s="233" t="n"/>
      <c r="E52" s="233" t="n"/>
      <c r="F52" s="233" t="n"/>
      <c r="G52" s="233" t="n"/>
      <c r="H52" s="233" t="n"/>
      <c r="I52" s="233" t="n"/>
      <c r="J52" s="233" t="n"/>
      <c r="K52" s="233" t="n"/>
      <c r="L52" s="233" t="n"/>
      <c r="M52" s="233" t="n"/>
      <c r="N52" s="233" t="n"/>
      <c r="O52" s="233" t="n"/>
      <c r="P52" s="233" t="n"/>
      <c r="Q52" s="233" t="n"/>
      <c r="R52" s="233" t="n"/>
      <c r="S52" s="233" t="n"/>
      <c r="T52" s="233" t="n"/>
      <c r="U52" s="233" t="n"/>
      <c r="V52" s="233" t="n"/>
      <c r="W52" s="233" t="n"/>
      <c r="X52" s="233" t="n"/>
      <c r="Y52" s="233" t="n"/>
      <c r="Z52" s="233" t="n"/>
      <c r="AA52" s="233" t="n"/>
      <c r="AB52" s="233" t="n"/>
      <c r="AC52" s="233" t="n"/>
      <c r="AD52" s="233" t="n"/>
      <c r="AE52" s="233" t="n"/>
      <c r="AF52" s="233" t="n"/>
      <c r="AG52" s="233" t="n"/>
      <c r="AH52" s="233" t="n"/>
      <c r="AI52" s="233" t="n"/>
      <c r="AJ52" s="233" t="n"/>
      <c r="AK52" s="233" t="n"/>
      <c r="AL52" s="233" t="n"/>
      <c r="AM52" s="233" t="n"/>
      <c r="AN52" s="233" t="n"/>
      <c r="AO52" s="233" t="n"/>
      <c r="AP52" s="233" t="n"/>
      <c r="AQ52" s="233" t="n"/>
      <c r="AR52" s="233" t="n"/>
    </row>
    <row r="53" ht="18" customHeight="1" s="28">
      <c r="A53" s="233" t="n"/>
      <c r="B53" s="233" t="n"/>
      <c r="C53" s="233" t="n"/>
      <c r="D53" s="233" t="n"/>
      <c r="E53" s="233" t="n"/>
      <c r="F53" s="233" t="n"/>
      <c r="G53" s="233" t="n"/>
      <c r="H53" s="233" t="n"/>
      <c r="I53" s="233" t="n"/>
      <c r="J53" s="233" t="n"/>
      <c r="K53" s="233" t="n"/>
      <c r="L53" s="233" t="n"/>
      <c r="M53" s="233" t="n"/>
      <c r="N53" s="233" t="n"/>
      <c r="O53" s="233" t="n"/>
      <c r="P53" s="233" t="n"/>
      <c r="Q53" s="233" t="n"/>
      <c r="R53" s="233" t="n"/>
      <c r="S53" s="233" t="n"/>
      <c r="T53" s="233" t="n"/>
      <c r="U53" s="233" t="n"/>
      <c r="V53" s="233" t="n"/>
      <c r="W53" s="233" t="n"/>
      <c r="X53" s="233" t="n"/>
      <c r="Y53" s="233" t="n"/>
      <c r="Z53" s="233" t="n"/>
      <c r="AA53" s="233" t="n"/>
      <c r="AB53" s="233" t="n"/>
      <c r="AC53" s="233" t="n"/>
      <c r="AD53" s="233" t="n"/>
      <c r="AE53" s="233" t="n"/>
      <c r="AF53" s="233" t="n"/>
      <c r="AG53" s="233" t="n"/>
      <c r="AH53" s="233" t="n"/>
      <c r="AI53" s="233" t="n"/>
      <c r="AJ53" s="233" t="n"/>
      <c r="AK53" s="233" t="n"/>
      <c r="AL53" s="233" t="n"/>
      <c r="AM53" s="233" t="n"/>
      <c r="AN53" s="233" t="n"/>
      <c r="AO53" s="233" t="n"/>
      <c r="AP53" s="233" t="n"/>
      <c r="AQ53" s="233" t="n"/>
      <c r="AR53" s="233" t="n"/>
    </row>
    <row r="54" ht="18" customHeight="1" s="28">
      <c r="A54" s="233" t="n"/>
      <c r="B54" s="233" t="n"/>
      <c r="C54" s="233" t="n"/>
      <c r="D54" s="233" t="n"/>
      <c r="E54" s="233" t="n"/>
      <c r="F54" s="233" t="n"/>
      <c r="G54" s="233" t="n"/>
      <c r="H54" s="233" t="n"/>
      <c r="I54" s="233" t="n"/>
      <c r="J54" s="233" t="n"/>
      <c r="K54" s="233" t="n"/>
      <c r="L54" s="233" t="n"/>
      <c r="M54" s="233" t="n"/>
      <c r="N54" s="233" t="n"/>
      <c r="O54" s="233" t="n"/>
      <c r="P54" s="233" t="n"/>
      <c r="Q54" s="233" t="n"/>
      <c r="R54" s="233" t="n"/>
      <c r="S54" s="233" t="n"/>
      <c r="T54" s="233" t="n"/>
      <c r="U54" s="233" t="n"/>
      <c r="V54" s="233" t="n"/>
      <c r="W54" s="233" t="n"/>
      <c r="X54" s="233" t="n"/>
      <c r="Y54" s="233" t="n"/>
      <c r="Z54" s="233" t="n"/>
      <c r="AA54" s="233" t="n"/>
      <c r="AB54" s="233" t="n"/>
      <c r="AC54" s="233" t="n"/>
      <c r="AD54" s="233" t="n"/>
      <c r="AE54" s="233" t="n"/>
      <c r="AF54" s="233" t="n"/>
      <c r="AG54" s="233" t="n"/>
      <c r="AH54" s="233" t="n"/>
      <c r="AI54" s="233" t="n"/>
      <c r="AJ54" s="233" t="n"/>
      <c r="AK54" s="233" t="n"/>
      <c r="AL54" s="233" t="n"/>
      <c r="AM54" s="233" t="n"/>
      <c r="AN54" s="233" t="n"/>
      <c r="AO54" s="233" t="n"/>
      <c r="AP54" s="233" t="n"/>
      <c r="AQ54" s="233" t="n"/>
      <c r="AR54" s="233" t="n"/>
    </row>
    <row r="55" ht="18" customHeight="1" s="28">
      <c r="A55" s="233" t="n"/>
      <c r="B55" s="233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233" t="n"/>
      <c r="O55" s="233" t="n"/>
      <c r="P55" s="233" t="n"/>
      <c r="Q55" s="233" t="n"/>
      <c r="R55" s="233" t="n"/>
      <c r="S55" s="233" t="n"/>
      <c r="T55" s="233" t="n"/>
      <c r="U55" s="233" t="n"/>
      <c r="V55" s="233" t="n"/>
      <c r="W55" s="233" t="n"/>
      <c r="X55" s="233" t="n"/>
      <c r="Y55" s="233" t="n"/>
      <c r="Z55" s="233" t="n"/>
      <c r="AA55" s="233" t="n"/>
      <c r="AB55" s="233" t="n"/>
      <c r="AC55" s="233" t="n"/>
      <c r="AD55" s="233" t="n"/>
      <c r="AE55" s="233" t="n"/>
      <c r="AF55" s="233" t="n"/>
      <c r="AG55" s="233" t="n"/>
      <c r="AH55" s="233" t="n"/>
      <c r="AI55" s="233" t="n"/>
      <c r="AJ55" s="233" t="n"/>
      <c r="AK55" s="233" t="n"/>
      <c r="AL55" s="233" t="n"/>
      <c r="AM55" s="233" t="n"/>
      <c r="AN55" s="233" t="n"/>
      <c r="AO55" s="233" t="n"/>
      <c r="AP55" s="233" t="n"/>
      <c r="AQ55" s="233" t="n"/>
      <c r="AR55" s="233" t="n"/>
    </row>
    <row r="56" ht="18" customHeight="1" s="28">
      <c r="A56" s="233" t="n"/>
      <c r="B56" s="233" t="n"/>
      <c r="C56" s="233" t="n"/>
      <c r="D56" s="233" t="n"/>
      <c r="E56" s="233" t="n"/>
      <c r="F56" s="233" t="n"/>
      <c r="G56" s="233" t="n"/>
      <c r="H56" s="233" t="n"/>
      <c r="I56" s="233" t="n"/>
      <c r="J56" s="233" t="n"/>
      <c r="K56" s="233" t="n"/>
      <c r="L56" s="233" t="n"/>
      <c r="M56" s="233" t="n"/>
      <c r="N56" s="233" t="n"/>
      <c r="O56" s="233" t="n"/>
      <c r="P56" s="233" t="n"/>
      <c r="Q56" s="233" t="n"/>
      <c r="R56" s="233" t="n"/>
      <c r="S56" s="233" t="n"/>
      <c r="T56" s="233" t="n"/>
      <c r="U56" s="233" t="n"/>
      <c r="V56" s="233" t="n"/>
      <c r="W56" s="233" t="n"/>
      <c r="X56" s="233" t="n"/>
      <c r="Y56" s="233" t="n"/>
      <c r="Z56" s="233" t="n"/>
      <c r="AA56" s="233" t="n"/>
      <c r="AB56" s="233" t="n"/>
      <c r="AC56" s="233" t="n"/>
      <c r="AD56" s="233" t="n"/>
      <c r="AE56" s="233" t="n"/>
      <c r="AF56" s="233" t="n"/>
      <c r="AG56" s="233" t="n"/>
      <c r="AH56" s="233" t="n"/>
      <c r="AI56" s="233" t="n"/>
      <c r="AJ56" s="233" t="n"/>
      <c r="AK56" s="233" t="n"/>
      <c r="AL56" s="233" t="n"/>
      <c r="AM56" s="233" t="n"/>
      <c r="AN56" s="233" t="n"/>
      <c r="AO56" s="233" t="n"/>
      <c r="AP56" s="233" t="n"/>
      <c r="AQ56" s="233" t="n"/>
      <c r="AR56" s="233" t="n"/>
    </row>
    <row r="57" ht="18" customHeight="1" s="28">
      <c r="A57" s="233" t="n"/>
      <c r="B57" s="233" t="n"/>
      <c r="C57" s="233" t="n"/>
      <c r="D57" s="233" t="n"/>
      <c r="E57" s="233" t="n"/>
      <c r="F57" s="233" t="n"/>
      <c r="G57" s="233" t="n"/>
      <c r="H57" s="233" t="n"/>
      <c r="I57" s="233" t="n"/>
      <c r="J57" s="233" t="n"/>
      <c r="K57" s="233" t="n"/>
      <c r="L57" s="233" t="n"/>
      <c r="M57" s="233" t="n"/>
      <c r="N57" s="233" t="n"/>
      <c r="O57" s="233" t="n"/>
      <c r="P57" s="233" t="n"/>
      <c r="Q57" s="233" t="n"/>
      <c r="R57" s="233" t="n"/>
      <c r="S57" s="233" t="n"/>
      <c r="T57" s="233" t="n"/>
      <c r="U57" s="233" t="n"/>
      <c r="V57" s="233" t="n"/>
      <c r="W57" s="233" t="n"/>
      <c r="X57" s="233" t="n"/>
      <c r="Y57" s="233" t="n"/>
      <c r="Z57" s="233" t="n"/>
      <c r="AA57" s="233" t="n"/>
      <c r="AB57" s="233" t="n"/>
      <c r="AC57" s="233" t="n"/>
      <c r="AD57" s="233" t="n"/>
      <c r="AE57" s="233" t="n"/>
      <c r="AF57" s="233" t="n"/>
      <c r="AG57" s="233" t="n"/>
      <c r="AH57" s="233" t="n"/>
      <c r="AI57" s="233" t="n"/>
      <c r="AJ57" s="233" t="n"/>
      <c r="AK57" s="233" t="n"/>
      <c r="AL57" s="233" t="n"/>
      <c r="AM57" s="233" t="n"/>
      <c r="AN57" s="233" t="n"/>
      <c r="AO57" s="233" t="n"/>
      <c r="AP57" s="233" t="n"/>
      <c r="AQ57" s="233" t="n"/>
      <c r="AR57" s="233" t="n"/>
    </row>
    <row r="58" ht="18" customHeight="1" s="28">
      <c r="A58" s="233" t="n"/>
      <c r="B58" s="233" t="n"/>
      <c r="C58" s="233" t="n"/>
      <c r="D58" s="233" t="n"/>
      <c r="E58" s="233" t="n"/>
      <c r="F58" s="233" t="n"/>
      <c r="G58" s="233" t="n"/>
      <c r="H58" s="233" t="n"/>
      <c r="I58" s="233" t="n"/>
      <c r="J58" s="233" t="n"/>
      <c r="K58" s="233" t="n"/>
      <c r="L58" s="233" t="n"/>
      <c r="M58" s="233" t="n"/>
      <c r="N58" s="233" t="n"/>
      <c r="O58" s="233" t="n"/>
      <c r="P58" s="233" t="n"/>
      <c r="Q58" s="233" t="n"/>
      <c r="R58" s="233" t="n"/>
      <c r="S58" s="233" t="n"/>
      <c r="T58" s="233" t="n"/>
      <c r="U58" s="233" t="n"/>
      <c r="V58" s="233" t="n"/>
      <c r="W58" s="233" t="n"/>
      <c r="X58" s="233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  <c r="AK58" s="233" t="n"/>
      <c r="AL58" s="233" t="n"/>
      <c r="AM58" s="233" t="n"/>
      <c r="AN58" s="233" t="n"/>
      <c r="AO58" s="233" t="n"/>
      <c r="AP58" s="233" t="n"/>
      <c r="AQ58" s="233" t="n"/>
      <c r="AR58" s="233" t="n"/>
    </row>
    <row r="59" ht="18" customHeight="1" s="28">
      <c r="A59" s="233" t="n"/>
      <c r="B59" s="233" t="n"/>
      <c r="C59" s="233" t="n"/>
      <c r="D59" s="233" t="n"/>
      <c r="E59" s="233" t="n"/>
      <c r="F59" s="233" t="n"/>
      <c r="G59" s="233" t="n"/>
      <c r="H59" s="233" t="n"/>
      <c r="I59" s="233" t="n"/>
      <c r="J59" s="233" t="n"/>
      <c r="K59" s="233" t="n"/>
      <c r="L59" s="233" t="n"/>
      <c r="M59" s="233" t="n"/>
      <c r="N59" s="233" t="n"/>
      <c r="O59" s="233" t="n"/>
      <c r="P59" s="233" t="n"/>
      <c r="Q59" s="233" t="n"/>
      <c r="R59" s="233" t="n"/>
      <c r="S59" s="233" t="n"/>
      <c r="T59" s="233" t="n"/>
      <c r="U59" s="233" t="n"/>
      <c r="V59" s="233" t="n"/>
      <c r="W59" s="233" t="n"/>
      <c r="X59" s="233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  <c r="AK59" s="233" t="n"/>
      <c r="AL59" s="233" t="n"/>
      <c r="AM59" s="233" t="n"/>
      <c r="AN59" s="233" t="n"/>
      <c r="AO59" s="233" t="n"/>
      <c r="AP59" s="233" t="n"/>
      <c r="AQ59" s="233" t="n"/>
      <c r="AR59" s="233" t="n"/>
    </row>
    <row r="60" ht="18" customHeight="1" s="28">
      <c r="A60" s="233" t="n"/>
      <c r="B60" s="233" t="n"/>
      <c r="C60" s="233" t="n"/>
      <c r="D60" s="233" t="n"/>
      <c r="E60" s="233" t="n"/>
      <c r="F60" s="233" t="n"/>
      <c r="G60" s="233" t="n"/>
      <c r="H60" s="233" t="n"/>
      <c r="I60" s="233" t="n"/>
      <c r="J60" s="233" t="n"/>
      <c r="K60" s="233" t="n"/>
      <c r="L60" s="233" t="n"/>
      <c r="M60" s="233" t="n"/>
      <c r="N60" s="233" t="n"/>
      <c r="O60" s="233" t="n"/>
      <c r="P60" s="233" t="n"/>
      <c r="Q60" s="233" t="n"/>
      <c r="R60" s="233" t="n"/>
      <c r="S60" s="233" t="n"/>
      <c r="T60" s="233" t="n"/>
      <c r="U60" s="233" t="n"/>
      <c r="V60" s="233" t="n"/>
      <c r="W60" s="233" t="n"/>
      <c r="X60" s="233" t="n"/>
      <c r="Y60" s="233" t="n"/>
      <c r="Z60" s="233" t="n"/>
      <c r="AA60" s="233" t="n"/>
      <c r="AB60" s="233" t="n"/>
      <c r="AC60" s="233" t="n"/>
      <c r="AD60" s="233" t="n"/>
      <c r="AE60" s="233" t="n"/>
      <c r="AF60" s="233" t="n"/>
      <c r="AG60" s="233" t="n"/>
      <c r="AH60" s="233" t="n"/>
      <c r="AI60" s="233" t="n"/>
      <c r="AJ60" s="233" t="n"/>
      <c r="AK60" s="233" t="n"/>
      <c r="AL60" s="233" t="n"/>
      <c r="AM60" s="233" t="n"/>
      <c r="AN60" s="233" t="n"/>
      <c r="AO60" s="233" t="n"/>
      <c r="AP60" s="233" t="n"/>
      <c r="AQ60" s="233" t="n"/>
      <c r="AR60" s="233" t="n"/>
    </row>
    <row r="61">
      <c r="A61" s="233" t="n"/>
      <c r="B61" s="233" t="n"/>
      <c r="C61" s="233" t="n"/>
      <c r="D61" s="233" t="n"/>
      <c r="E61" s="233" t="n"/>
      <c r="F61" s="233" t="n"/>
      <c r="G61" s="233" t="n"/>
      <c r="H61" s="233" t="n"/>
      <c r="I61" s="233" t="n"/>
      <c r="J61" s="233" t="n"/>
      <c r="K61" s="233" t="n"/>
      <c r="L61" s="233" t="n"/>
      <c r="M61" s="233" t="n"/>
      <c r="N61" s="233" t="n"/>
      <c r="O61" s="233" t="n"/>
      <c r="P61" s="233" t="n"/>
      <c r="Q61" s="233" t="n"/>
      <c r="R61" s="233" t="n"/>
      <c r="S61" s="233" t="n"/>
      <c r="T61" s="233" t="n"/>
      <c r="U61" s="233" t="n"/>
      <c r="V61" s="233" t="n"/>
      <c r="W61" s="233" t="n"/>
      <c r="X61" s="233" t="n"/>
      <c r="Y61" s="233" t="n"/>
      <c r="Z61" s="233" t="n"/>
      <c r="AA61" s="233" t="n"/>
      <c r="AB61" s="233" t="n"/>
      <c r="AC61" s="233" t="n"/>
      <c r="AD61" s="233" t="n"/>
      <c r="AE61" s="233" t="n"/>
      <c r="AF61" s="233" t="n"/>
      <c r="AG61" s="233" t="n"/>
      <c r="AH61" s="233" t="n"/>
      <c r="AI61" s="233" t="n"/>
      <c r="AJ61" s="233" t="n"/>
      <c r="AK61" s="233" t="n"/>
      <c r="AL61" s="233" t="n"/>
      <c r="AM61" s="233" t="n"/>
      <c r="AN61" s="233" t="n"/>
      <c r="AO61" s="233" t="n"/>
      <c r="AP61" s="233" t="n"/>
      <c r="AQ61" s="233" t="n"/>
      <c r="AR61" s="233" t="n"/>
    </row>
    <row r="62">
      <c r="A62" s="233" t="n"/>
      <c r="B62" s="233" t="n"/>
      <c r="C62" s="233" t="n"/>
      <c r="D62" s="233" t="n"/>
      <c r="E62" s="233" t="n"/>
      <c r="F62" s="233" t="n"/>
      <c r="G62" s="233" t="n"/>
      <c r="H62" s="233" t="n"/>
      <c r="I62" s="233" t="n"/>
      <c r="J62" s="233" t="n"/>
      <c r="K62" s="233" t="n"/>
      <c r="L62" s="233" t="n"/>
      <c r="M62" s="233" t="n"/>
      <c r="N62" s="233" t="n"/>
      <c r="O62" s="233" t="n"/>
      <c r="P62" s="233" t="n"/>
      <c r="Q62" s="233" t="n"/>
      <c r="R62" s="233" t="n"/>
      <c r="S62" s="233" t="n"/>
      <c r="T62" s="233" t="n"/>
      <c r="U62" s="233" t="n"/>
      <c r="V62" s="233" t="n"/>
      <c r="W62" s="233" t="n"/>
      <c r="X62" s="233" t="n"/>
      <c r="Y62" s="233" t="n"/>
      <c r="Z62" s="233" t="n"/>
      <c r="AA62" s="233" t="n"/>
      <c r="AB62" s="233" t="n"/>
      <c r="AC62" s="233" t="n"/>
      <c r="AD62" s="233" t="n"/>
      <c r="AE62" s="233" t="n"/>
      <c r="AF62" s="233" t="n"/>
      <c r="AG62" s="233" t="n"/>
      <c r="AH62" s="233" t="n"/>
      <c r="AI62" s="233" t="n"/>
      <c r="AJ62" s="233" t="n"/>
      <c r="AK62" s="233" t="n"/>
      <c r="AL62" s="233" t="n"/>
      <c r="AM62" s="233" t="n"/>
      <c r="AN62" s="233" t="n"/>
      <c r="AO62" s="233" t="n"/>
      <c r="AP62" s="233" t="n"/>
      <c r="AQ62" s="233" t="n"/>
      <c r="AR62" s="233" t="n"/>
    </row>
    <row r="63">
      <c r="A63" s="233" t="n"/>
      <c r="B63" s="233" t="n"/>
      <c r="C63" s="233" t="n"/>
      <c r="D63" s="233" t="n"/>
      <c r="E63" s="233" t="n"/>
      <c r="F63" s="233" t="n"/>
      <c r="G63" s="233" t="n"/>
      <c r="H63" s="233" t="n"/>
      <c r="I63" s="233" t="n"/>
      <c r="J63" s="233" t="n"/>
      <c r="K63" s="233" t="n"/>
      <c r="L63" s="233" t="n"/>
      <c r="M63" s="233" t="n"/>
      <c r="N63" s="233" t="n"/>
      <c r="O63" s="233" t="n"/>
      <c r="P63" s="233" t="n"/>
      <c r="Q63" s="233" t="n"/>
      <c r="R63" s="233" t="n"/>
      <c r="S63" s="233" t="n"/>
      <c r="T63" s="233" t="n"/>
      <c r="U63" s="233" t="n"/>
      <c r="V63" s="233" t="n"/>
      <c r="W63" s="233" t="n"/>
      <c r="X63" s="233" t="n"/>
      <c r="Y63" s="233" t="n"/>
      <c r="Z63" s="233" t="n"/>
      <c r="AA63" s="233" t="n"/>
      <c r="AB63" s="233" t="n"/>
      <c r="AC63" s="233" t="n"/>
      <c r="AD63" s="233" t="n"/>
      <c r="AE63" s="233" t="n"/>
      <c r="AF63" s="233" t="n"/>
      <c r="AG63" s="233" t="n"/>
      <c r="AH63" s="233" t="n"/>
      <c r="AI63" s="233" t="n"/>
      <c r="AJ63" s="233" t="n"/>
      <c r="AK63" s="233" t="n"/>
      <c r="AL63" s="233" t="n"/>
      <c r="AM63" s="233" t="n"/>
      <c r="AN63" s="233" t="n"/>
      <c r="AO63" s="233" t="n"/>
      <c r="AP63" s="233" t="n"/>
      <c r="AQ63" s="233" t="n"/>
      <c r="AR63" s="233" t="n"/>
    </row>
    <row r="64">
      <c r="A64" s="233" t="n"/>
      <c r="B64" s="233" t="n"/>
      <c r="C64" s="233" t="n"/>
      <c r="D64" s="233" t="n"/>
      <c r="E64" s="233" t="n"/>
      <c r="F64" s="233" t="n"/>
      <c r="G64" s="233" t="n"/>
      <c r="H64" s="233" t="n"/>
      <c r="I64" s="233" t="n"/>
      <c r="J64" s="233" t="n"/>
      <c r="K64" s="233" t="n"/>
      <c r="L64" s="233" t="n"/>
      <c r="M64" s="233" t="n"/>
      <c r="N64" s="233" t="n"/>
      <c r="O64" s="233" t="n"/>
      <c r="P64" s="233" t="n"/>
      <c r="Q64" s="233" t="n"/>
      <c r="R64" s="233" t="n"/>
      <c r="S64" s="233" t="n"/>
      <c r="T64" s="233" t="n"/>
      <c r="U64" s="233" t="n"/>
      <c r="V64" s="233" t="n"/>
      <c r="W64" s="233" t="n"/>
      <c r="X64" s="233" t="n"/>
      <c r="Y64" s="233" t="n"/>
      <c r="Z64" s="233" t="n"/>
      <c r="AA64" s="233" t="n"/>
      <c r="AB64" s="233" t="n"/>
      <c r="AC64" s="233" t="n"/>
      <c r="AD64" s="233" t="n"/>
      <c r="AE64" s="233" t="n"/>
      <c r="AF64" s="233" t="n"/>
      <c r="AG64" s="233" t="n"/>
      <c r="AH64" s="233" t="n"/>
      <c r="AI64" s="233" t="n"/>
      <c r="AJ64" s="233" t="n"/>
      <c r="AK64" s="233" t="n"/>
      <c r="AL64" s="233" t="n"/>
      <c r="AM64" s="233" t="n"/>
      <c r="AN64" s="233" t="n"/>
      <c r="AO64" s="233" t="n"/>
      <c r="AP64" s="233" t="n"/>
      <c r="AQ64" s="233" t="n"/>
      <c r="AR64" s="233" t="n"/>
    </row>
    <row r="65">
      <c r="A65" s="233" t="n"/>
      <c r="B65" s="233" t="n"/>
      <c r="C65" s="233" t="n"/>
      <c r="D65" s="233" t="n"/>
      <c r="E65" s="233" t="n"/>
      <c r="F65" s="233" t="n"/>
      <c r="G65" s="233" t="n"/>
      <c r="H65" s="233" t="n"/>
      <c r="I65" s="233" t="n"/>
      <c r="J65" s="233" t="n"/>
      <c r="K65" s="233" t="n"/>
      <c r="L65" s="233" t="n"/>
      <c r="M65" s="233" t="n"/>
      <c r="N65" s="233" t="n"/>
      <c r="O65" s="233" t="n"/>
      <c r="P65" s="233" t="n"/>
      <c r="Q65" s="233" t="n"/>
      <c r="R65" s="233" t="n"/>
      <c r="S65" s="233" t="n"/>
      <c r="T65" s="233" t="n"/>
      <c r="U65" s="233" t="n"/>
      <c r="V65" s="233" t="n"/>
      <c r="W65" s="233" t="n"/>
      <c r="X65" s="233" t="n"/>
      <c r="Y65" s="233" t="n"/>
      <c r="Z65" s="233" t="n"/>
      <c r="AA65" s="233" t="n"/>
      <c r="AB65" s="233" t="n"/>
      <c r="AC65" s="233" t="n"/>
      <c r="AD65" s="233" t="n"/>
      <c r="AE65" s="233" t="n"/>
      <c r="AF65" s="233" t="n"/>
      <c r="AG65" s="233" t="n"/>
      <c r="AH65" s="233" t="n"/>
      <c r="AI65" s="233" t="n"/>
      <c r="AJ65" s="233" t="n"/>
      <c r="AK65" s="233" t="n"/>
      <c r="AL65" s="233" t="n"/>
      <c r="AM65" s="233" t="n"/>
      <c r="AN65" s="233" t="n"/>
      <c r="AO65" s="233" t="n"/>
      <c r="AP65" s="233" t="n"/>
      <c r="AQ65" s="233" t="n"/>
      <c r="AR65" s="233" t="n"/>
    </row>
    <row r="66">
      <c r="A66" s="233" t="n"/>
      <c r="B66" s="233" t="n"/>
      <c r="C66" s="233" t="n"/>
      <c r="D66" s="233" t="n"/>
      <c r="E66" s="233" t="n"/>
      <c r="F66" s="233" t="n"/>
      <c r="G66" s="233" t="n"/>
      <c r="H66" s="233" t="n"/>
      <c r="I66" s="233" t="n"/>
      <c r="J66" s="233" t="n"/>
      <c r="K66" s="233" t="n"/>
      <c r="L66" s="233" t="n"/>
      <c r="M66" s="233" t="n"/>
      <c r="N66" s="233" t="n"/>
      <c r="O66" s="233" t="n"/>
      <c r="P66" s="233" t="n"/>
      <c r="Q66" s="233" t="n"/>
      <c r="R66" s="233" t="n"/>
      <c r="S66" s="233" t="n"/>
      <c r="T66" s="233" t="n"/>
      <c r="U66" s="233" t="n"/>
      <c r="V66" s="233" t="n"/>
      <c r="W66" s="233" t="n"/>
      <c r="X66" s="233" t="n"/>
      <c r="Y66" s="233" t="n"/>
      <c r="Z66" s="233" t="n"/>
      <c r="AA66" s="233" t="n"/>
      <c r="AB66" s="233" t="n"/>
      <c r="AC66" s="233" t="n"/>
      <c r="AD66" s="233" t="n"/>
      <c r="AE66" s="233" t="n"/>
      <c r="AF66" s="233" t="n"/>
      <c r="AG66" s="233" t="n"/>
      <c r="AH66" s="233" t="n"/>
      <c r="AI66" s="233" t="n"/>
      <c r="AJ66" s="233" t="n"/>
      <c r="AK66" s="233" t="n"/>
      <c r="AL66" s="233" t="n"/>
      <c r="AM66" s="233" t="n"/>
      <c r="AN66" s="233" t="n"/>
      <c r="AO66" s="233" t="n"/>
      <c r="AP66" s="233" t="n"/>
      <c r="AQ66" s="233" t="n"/>
      <c r="AR66" s="233" t="n"/>
    </row>
    <row r="67">
      <c r="A67" s="233" t="n"/>
      <c r="B67" s="233" t="n"/>
      <c r="C67" s="233" t="n"/>
      <c r="D67" s="233" t="n"/>
      <c r="E67" s="233" t="n"/>
      <c r="F67" s="233" t="n"/>
      <c r="G67" s="233" t="n"/>
      <c r="H67" s="233" t="n"/>
      <c r="I67" s="233" t="n"/>
      <c r="J67" s="233" t="n"/>
      <c r="K67" s="233" t="n"/>
      <c r="L67" s="233" t="n"/>
      <c r="M67" s="233" t="n"/>
      <c r="N67" s="233" t="n"/>
      <c r="O67" s="233" t="n"/>
      <c r="P67" s="233" t="n"/>
      <c r="Q67" s="233" t="n"/>
      <c r="R67" s="233" t="n"/>
      <c r="S67" s="233" t="n"/>
      <c r="T67" s="233" t="n"/>
      <c r="U67" s="233" t="n"/>
      <c r="V67" s="233" t="n"/>
      <c r="W67" s="233" t="n"/>
      <c r="X67" s="233" t="n"/>
      <c r="Y67" s="233" t="n"/>
      <c r="Z67" s="233" t="n"/>
      <c r="AA67" s="233" t="n"/>
      <c r="AB67" s="233" t="n"/>
      <c r="AC67" s="233" t="n"/>
      <c r="AD67" s="233" t="n"/>
      <c r="AE67" s="233" t="n"/>
      <c r="AF67" s="233" t="n"/>
      <c r="AG67" s="233" t="n"/>
      <c r="AH67" s="233" t="n"/>
      <c r="AI67" s="233" t="n"/>
      <c r="AJ67" s="233" t="n"/>
      <c r="AK67" s="233" t="n"/>
      <c r="AL67" s="233" t="n"/>
      <c r="AM67" s="233" t="n"/>
      <c r="AN67" s="233" t="n"/>
      <c r="AO67" s="233" t="n"/>
      <c r="AP67" s="233" t="n"/>
      <c r="AQ67" s="233" t="n"/>
      <c r="AR67" s="233" t="n"/>
    </row>
    <row r="68">
      <c r="A68" s="233" t="n"/>
      <c r="B68" s="233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233" t="n"/>
      <c r="O68" s="233" t="n"/>
      <c r="P68" s="233" t="n"/>
      <c r="Q68" s="233" t="n"/>
      <c r="R68" s="233" t="n"/>
      <c r="S68" s="233" t="n"/>
      <c r="T68" s="233" t="n"/>
      <c r="U68" s="233" t="n"/>
      <c r="V68" s="233" t="n"/>
      <c r="W68" s="233" t="n"/>
      <c r="X68" s="233" t="n"/>
      <c r="Y68" s="233" t="n"/>
      <c r="Z68" s="233" t="n"/>
      <c r="AA68" s="233" t="n"/>
      <c r="AB68" s="233" t="n"/>
      <c r="AC68" s="233" t="n"/>
      <c r="AD68" s="233" t="n"/>
      <c r="AE68" s="233" t="n"/>
      <c r="AF68" s="233" t="n"/>
      <c r="AG68" s="233" t="n"/>
      <c r="AH68" s="233" t="n"/>
      <c r="AI68" s="233" t="n"/>
      <c r="AJ68" s="233" t="n"/>
      <c r="AK68" s="233" t="n"/>
      <c r="AL68" s="233" t="n"/>
      <c r="AM68" s="233" t="n"/>
      <c r="AN68" s="233" t="n"/>
      <c r="AO68" s="233" t="n"/>
      <c r="AP68" s="233" t="n"/>
      <c r="AQ68" s="233" t="n"/>
      <c r="AR68" s="233" t="n"/>
    </row>
    <row r="69">
      <c r="A69" s="233" t="n"/>
      <c r="B69" s="233" t="n"/>
      <c r="C69" s="233" t="n"/>
      <c r="D69" s="233" t="n"/>
      <c r="E69" s="233" t="n"/>
      <c r="F69" s="233" t="n"/>
      <c r="G69" s="233" t="n"/>
      <c r="H69" s="233" t="n"/>
      <c r="I69" s="233" t="n"/>
      <c r="J69" s="233" t="n"/>
      <c r="K69" s="233" t="n"/>
      <c r="L69" s="233" t="n"/>
      <c r="M69" s="233" t="n"/>
      <c r="N69" s="233" t="n"/>
      <c r="O69" s="233" t="n"/>
      <c r="P69" s="233" t="n"/>
      <c r="Q69" s="233" t="n"/>
      <c r="R69" s="233" t="n"/>
      <c r="S69" s="233" t="n"/>
      <c r="T69" s="233" t="n"/>
      <c r="U69" s="233" t="n"/>
      <c r="V69" s="233" t="n"/>
      <c r="W69" s="233" t="n"/>
      <c r="X69" s="233" t="n"/>
      <c r="Y69" s="233" t="n"/>
      <c r="Z69" s="233" t="n"/>
      <c r="AA69" s="233" t="n"/>
      <c r="AB69" s="233" t="n"/>
      <c r="AC69" s="233" t="n"/>
      <c r="AD69" s="233" t="n"/>
      <c r="AE69" s="233" t="n"/>
      <c r="AF69" s="233" t="n"/>
      <c r="AG69" s="233" t="n"/>
      <c r="AH69" s="233" t="n"/>
      <c r="AI69" s="233" t="n"/>
      <c r="AJ69" s="233" t="n"/>
      <c r="AK69" s="233" t="n"/>
      <c r="AL69" s="233" t="n"/>
      <c r="AM69" s="233" t="n"/>
      <c r="AN69" s="233" t="n"/>
      <c r="AO69" s="233" t="n"/>
      <c r="AP69" s="233" t="n"/>
      <c r="AQ69" s="233" t="n"/>
      <c r="AR69" s="233" t="n"/>
    </row>
    <row r="70">
      <c r="A70" s="233" t="n"/>
      <c r="B70" s="233" t="n"/>
      <c r="C70" s="233" t="n"/>
      <c r="D70" s="233" t="n"/>
      <c r="E70" s="233" t="n"/>
      <c r="F70" s="233" t="n"/>
      <c r="G70" s="233" t="n"/>
      <c r="H70" s="233" t="n"/>
      <c r="I70" s="233" t="n"/>
      <c r="J70" s="233" t="n"/>
      <c r="K70" s="233" t="n"/>
      <c r="L70" s="233" t="n"/>
      <c r="M70" s="233" t="n"/>
      <c r="N70" s="233" t="n"/>
      <c r="O70" s="233" t="n"/>
      <c r="P70" s="233" t="n"/>
      <c r="Q70" s="233" t="n"/>
      <c r="R70" s="233" t="n"/>
      <c r="S70" s="233" t="n"/>
      <c r="T70" s="233" t="n"/>
      <c r="U70" s="233" t="n"/>
      <c r="V70" s="233" t="n"/>
      <c r="W70" s="233" t="n"/>
      <c r="X70" s="233" t="n"/>
      <c r="Y70" s="233" t="n"/>
      <c r="Z70" s="233" t="n"/>
      <c r="AA70" s="233" t="n"/>
      <c r="AB70" s="233" t="n"/>
      <c r="AC70" s="233" t="n"/>
      <c r="AD70" s="233" t="n"/>
      <c r="AE70" s="233" t="n"/>
      <c r="AF70" s="233" t="n"/>
      <c r="AG70" s="233" t="n"/>
      <c r="AH70" s="233" t="n"/>
      <c r="AI70" s="233" t="n"/>
      <c r="AJ70" s="233" t="n"/>
      <c r="AK70" s="233" t="n"/>
      <c r="AL70" s="233" t="n"/>
      <c r="AM70" s="233" t="n"/>
      <c r="AN70" s="233" t="n"/>
      <c r="AO70" s="233" t="n"/>
      <c r="AP70" s="233" t="n"/>
      <c r="AQ70" s="233" t="n"/>
      <c r="AR70" s="233" t="n"/>
    </row>
    <row r="71">
      <c r="A71" s="233" t="n"/>
      <c r="B71" s="233" t="n"/>
      <c r="C71" s="233" t="n"/>
      <c r="D71" s="233" t="n"/>
      <c r="E71" s="233" t="n"/>
      <c r="F71" s="233" t="n"/>
      <c r="G71" s="233" t="n"/>
      <c r="H71" s="233" t="n"/>
      <c r="I71" s="233" t="n"/>
      <c r="J71" s="233" t="n"/>
      <c r="K71" s="233" t="n"/>
      <c r="L71" s="233" t="n"/>
      <c r="M71" s="233" t="n"/>
      <c r="N71" s="233" t="n"/>
      <c r="O71" s="233" t="n"/>
      <c r="P71" s="233" t="n"/>
      <c r="Q71" s="233" t="n"/>
      <c r="R71" s="233" t="n"/>
      <c r="S71" s="233" t="n"/>
      <c r="T71" s="233" t="n"/>
      <c r="U71" s="233" t="n"/>
      <c r="V71" s="233" t="n"/>
      <c r="W71" s="233" t="n"/>
      <c r="X71" s="233" t="n"/>
      <c r="Y71" s="233" t="n"/>
      <c r="Z71" s="233" t="n"/>
      <c r="AA71" s="233" t="n"/>
      <c r="AB71" s="233" t="n"/>
      <c r="AC71" s="233" t="n"/>
      <c r="AD71" s="233" t="n"/>
      <c r="AE71" s="233" t="n"/>
      <c r="AF71" s="233" t="n"/>
      <c r="AG71" s="233" t="n"/>
      <c r="AH71" s="233" t="n"/>
      <c r="AI71" s="233" t="n"/>
      <c r="AJ71" s="233" t="n"/>
      <c r="AK71" s="233" t="n"/>
      <c r="AL71" s="233" t="n"/>
      <c r="AM71" s="233" t="n"/>
      <c r="AN71" s="233" t="n"/>
      <c r="AO71" s="233" t="n"/>
      <c r="AP71" s="233" t="n"/>
      <c r="AQ71" s="233" t="n"/>
      <c r="AR71" s="233" t="n"/>
    </row>
    <row r="72">
      <c r="A72" s="233" t="n"/>
      <c r="B72" s="233" t="n"/>
      <c r="C72" s="233" t="n"/>
      <c r="D72" s="233" t="n"/>
      <c r="E72" s="233" t="n"/>
      <c r="F72" s="233" t="n"/>
      <c r="G72" s="233" t="n"/>
      <c r="H72" s="233" t="n"/>
      <c r="I72" s="233" t="n"/>
      <c r="J72" s="233" t="n"/>
      <c r="K72" s="233" t="n"/>
      <c r="L72" s="233" t="n"/>
      <c r="M72" s="233" t="n"/>
      <c r="N72" s="233" t="n"/>
      <c r="O72" s="233" t="n"/>
      <c r="P72" s="233" t="n"/>
      <c r="Q72" s="233" t="n"/>
      <c r="R72" s="233" t="n"/>
      <c r="S72" s="233" t="n"/>
      <c r="T72" s="233" t="n"/>
      <c r="U72" s="233" t="n"/>
      <c r="V72" s="233" t="n"/>
      <c r="W72" s="233" t="n"/>
      <c r="X72" s="233" t="n"/>
      <c r="Y72" s="233" t="n"/>
      <c r="Z72" s="233" t="n"/>
      <c r="AA72" s="233" t="n"/>
      <c r="AB72" s="233" t="n"/>
      <c r="AC72" s="233" t="n"/>
      <c r="AD72" s="233" t="n"/>
      <c r="AE72" s="233" t="n"/>
      <c r="AF72" s="233" t="n"/>
      <c r="AG72" s="233" t="n"/>
      <c r="AH72" s="233" t="n"/>
      <c r="AI72" s="233" t="n"/>
      <c r="AJ72" s="233" t="n"/>
      <c r="AK72" s="233" t="n"/>
      <c r="AL72" s="233" t="n"/>
      <c r="AM72" s="233" t="n"/>
      <c r="AN72" s="233" t="n"/>
      <c r="AO72" s="233" t="n"/>
      <c r="AP72" s="233" t="n"/>
      <c r="AQ72" s="233" t="n"/>
      <c r="AR72" s="233" t="n"/>
    </row>
    <row r="73">
      <c r="A73" s="233" t="n"/>
      <c r="B73" s="233" t="n"/>
      <c r="C73" s="233" t="n"/>
      <c r="D73" s="233" t="n"/>
      <c r="E73" s="233" t="n"/>
      <c r="F73" s="233" t="n"/>
      <c r="G73" s="233" t="n"/>
      <c r="H73" s="233" t="n"/>
      <c r="I73" s="233" t="n"/>
      <c r="J73" s="233" t="n"/>
      <c r="K73" s="233" t="n"/>
      <c r="L73" s="233" t="n"/>
      <c r="M73" s="233" t="n"/>
      <c r="N73" s="233" t="n"/>
      <c r="O73" s="233" t="n"/>
      <c r="P73" s="233" t="n"/>
      <c r="Q73" s="233" t="n"/>
      <c r="R73" s="233" t="n"/>
      <c r="S73" s="233" t="n"/>
      <c r="T73" s="233" t="n"/>
      <c r="U73" s="233" t="n"/>
      <c r="V73" s="233" t="n"/>
      <c r="W73" s="233" t="n"/>
      <c r="X73" s="233" t="n"/>
      <c r="Y73" s="233" t="n"/>
      <c r="Z73" s="233" t="n"/>
      <c r="AA73" s="233" t="n"/>
      <c r="AB73" s="233" t="n"/>
      <c r="AC73" s="233" t="n"/>
      <c r="AD73" s="233" t="n"/>
      <c r="AE73" s="233" t="n"/>
      <c r="AF73" s="233" t="n"/>
      <c r="AG73" s="233" t="n"/>
      <c r="AH73" s="233" t="n"/>
      <c r="AI73" s="233" t="n"/>
      <c r="AJ73" s="233" t="n"/>
      <c r="AK73" s="233" t="n"/>
      <c r="AL73" s="233" t="n"/>
      <c r="AM73" s="233" t="n"/>
      <c r="AN73" s="233" t="n"/>
      <c r="AO73" s="233" t="n"/>
      <c r="AP73" s="233" t="n"/>
      <c r="AQ73" s="233" t="n"/>
      <c r="AR73" s="233" t="n"/>
    </row>
    <row r="74">
      <c r="A74" s="233" t="n"/>
      <c r="B74" s="233" t="n"/>
      <c r="C74" s="233" t="n"/>
      <c r="D74" s="233" t="n"/>
      <c r="E74" s="233" t="n"/>
      <c r="F74" s="233" t="n"/>
      <c r="G74" s="233" t="n"/>
      <c r="H74" s="233" t="n"/>
      <c r="I74" s="233" t="n"/>
      <c r="J74" s="233" t="n"/>
      <c r="K74" s="233" t="n"/>
      <c r="L74" s="233" t="n"/>
      <c r="M74" s="233" t="n"/>
      <c r="N74" s="233" t="n"/>
      <c r="O74" s="233" t="n"/>
      <c r="P74" s="233" t="n"/>
      <c r="Q74" s="233" t="n"/>
      <c r="R74" s="233" t="n"/>
      <c r="S74" s="233" t="n"/>
      <c r="T74" s="233" t="n"/>
      <c r="U74" s="233" t="n"/>
      <c r="V74" s="233" t="n"/>
      <c r="W74" s="233" t="n"/>
      <c r="X74" s="233" t="n"/>
      <c r="Y74" s="233" t="n"/>
      <c r="Z74" s="233" t="n"/>
      <c r="AA74" s="233" t="n"/>
      <c r="AB74" s="233" t="n"/>
      <c r="AC74" s="233" t="n"/>
      <c r="AD74" s="233" t="n"/>
      <c r="AE74" s="233" t="n"/>
      <c r="AF74" s="233" t="n"/>
      <c r="AG74" s="233" t="n"/>
      <c r="AH74" s="233" t="n"/>
      <c r="AI74" s="233" t="n"/>
      <c r="AJ74" s="233" t="n"/>
      <c r="AK74" s="233" t="n"/>
      <c r="AL74" s="233" t="n"/>
      <c r="AM74" s="233" t="n"/>
      <c r="AN74" s="233" t="n"/>
      <c r="AO74" s="233" t="n"/>
      <c r="AP74" s="233" t="n"/>
      <c r="AQ74" s="233" t="n"/>
      <c r="AR74" s="233" t="n"/>
    </row>
    <row r="75">
      <c r="A75" s="233" t="n"/>
      <c r="B75" s="233" t="n"/>
      <c r="C75" s="233" t="n"/>
      <c r="D75" s="233" t="n"/>
      <c r="E75" s="233" t="n"/>
      <c r="F75" s="233" t="n"/>
      <c r="G75" s="233" t="n"/>
      <c r="H75" s="233" t="n"/>
      <c r="I75" s="233" t="n"/>
      <c r="J75" s="233" t="n"/>
      <c r="K75" s="233" t="n"/>
      <c r="L75" s="233" t="n"/>
      <c r="M75" s="233" t="n"/>
      <c r="N75" s="233" t="n"/>
      <c r="O75" s="233" t="n"/>
      <c r="P75" s="233" t="n"/>
      <c r="Q75" s="233" t="n"/>
      <c r="R75" s="233" t="n"/>
      <c r="S75" s="233" t="n"/>
      <c r="T75" s="233" t="n"/>
      <c r="U75" s="233" t="n"/>
      <c r="V75" s="233" t="n"/>
      <c r="W75" s="233" t="n"/>
      <c r="X75" s="233" t="n"/>
      <c r="Y75" s="233" t="n"/>
      <c r="Z75" s="233" t="n"/>
      <c r="AA75" s="233" t="n"/>
      <c r="AB75" s="233" t="n"/>
      <c r="AC75" s="233" t="n"/>
      <c r="AD75" s="233" t="n"/>
      <c r="AE75" s="233" t="n"/>
      <c r="AF75" s="233" t="n"/>
      <c r="AG75" s="233" t="n"/>
      <c r="AH75" s="233" t="n"/>
      <c r="AI75" s="233" t="n"/>
      <c r="AJ75" s="233" t="n"/>
      <c r="AK75" s="233" t="n"/>
      <c r="AL75" s="233" t="n"/>
      <c r="AM75" s="233" t="n"/>
      <c r="AN75" s="233" t="n"/>
      <c r="AO75" s="233" t="n"/>
      <c r="AP75" s="233" t="n"/>
      <c r="AQ75" s="233" t="n"/>
      <c r="AR75" s="233" t="n"/>
    </row>
    <row r="76">
      <c r="A76" s="233" t="n"/>
      <c r="B76" s="233" t="n"/>
      <c r="C76" s="233" t="n"/>
      <c r="D76" s="233" t="n"/>
      <c r="E76" s="233" t="n"/>
      <c r="F76" s="233" t="n"/>
      <c r="G76" s="233" t="n"/>
      <c r="H76" s="233" t="n"/>
      <c r="I76" s="233" t="n"/>
      <c r="J76" s="233" t="n"/>
      <c r="K76" s="233" t="n"/>
      <c r="L76" s="233" t="n"/>
      <c r="M76" s="233" t="n"/>
      <c r="N76" s="233" t="n"/>
      <c r="O76" s="233" t="n"/>
      <c r="P76" s="233" t="n"/>
      <c r="Q76" s="233" t="n"/>
      <c r="R76" s="233" t="n"/>
      <c r="S76" s="233" t="n"/>
      <c r="T76" s="233" t="n"/>
      <c r="U76" s="233" t="n"/>
      <c r="V76" s="233" t="n"/>
      <c r="W76" s="233" t="n"/>
      <c r="X76" s="233" t="n"/>
      <c r="Y76" s="233" t="n"/>
      <c r="Z76" s="233" t="n"/>
      <c r="AA76" s="233" t="n"/>
      <c r="AB76" s="233" t="n"/>
      <c r="AC76" s="233" t="n"/>
      <c r="AD76" s="233" t="n"/>
      <c r="AE76" s="233" t="n"/>
      <c r="AF76" s="233" t="n"/>
      <c r="AG76" s="233" t="n"/>
      <c r="AH76" s="233" t="n"/>
      <c r="AI76" s="233" t="n"/>
      <c r="AJ76" s="233" t="n"/>
      <c r="AK76" s="233" t="n"/>
      <c r="AL76" s="233" t="n"/>
      <c r="AM76" s="233" t="n"/>
      <c r="AN76" s="233" t="n"/>
      <c r="AO76" s="233" t="n"/>
      <c r="AP76" s="233" t="n"/>
      <c r="AQ76" s="233" t="n"/>
      <c r="AR76" s="233" t="n"/>
    </row>
    <row r="77">
      <c r="A77" s="233" t="n"/>
      <c r="B77" s="233" t="n"/>
      <c r="C77" s="233" t="n"/>
      <c r="D77" s="233" t="n"/>
      <c r="E77" s="233" t="n"/>
      <c r="F77" s="233" t="n"/>
      <c r="G77" s="233" t="n"/>
      <c r="H77" s="233" t="n"/>
      <c r="I77" s="233" t="n"/>
      <c r="J77" s="233" t="n"/>
      <c r="K77" s="233" t="n"/>
      <c r="L77" s="233" t="n"/>
      <c r="M77" s="233" t="n"/>
      <c r="N77" s="233" t="n"/>
      <c r="O77" s="233" t="n"/>
      <c r="P77" s="233" t="n"/>
      <c r="Q77" s="233" t="n"/>
      <c r="R77" s="233" t="n"/>
      <c r="S77" s="233" t="n"/>
      <c r="T77" s="233" t="n"/>
      <c r="U77" s="233" t="n"/>
      <c r="V77" s="233" t="n"/>
      <c r="W77" s="233" t="n"/>
      <c r="X77" s="233" t="n"/>
      <c r="Y77" s="233" t="n"/>
      <c r="Z77" s="233" t="n"/>
      <c r="AA77" s="233" t="n"/>
      <c r="AB77" s="233" t="n"/>
      <c r="AC77" s="233" t="n"/>
      <c r="AD77" s="233" t="n"/>
      <c r="AE77" s="233" t="n"/>
      <c r="AF77" s="233" t="n"/>
      <c r="AG77" s="233" t="n"/>
      <c r="AH77" s="233" t="n"/>
      <c r="AI77" s="233" t="n"/>
      <c r="AJ77" s="233" t="n"/>
      <c r="AK77" s="233" t="n"/>
      <c r="AL77" s="233" t="n"/>
      <c r="AM77" s="233" t="n"/>
      <c r="AN77" s="233" t="n"/>
      <c r="AO77" s="233" t="n"/>
      <c r="AP77" s="233" t="n"/>
      <c r="AQ77" s="233" t="n"/>
      <c r="AR77" s="233" t="n"/>
    </row>
    <row r="78">
      <c r="A78" s="233" t="n"/>
      <c r="B78" s="233" t="n"/>
      <c r="C78" s="233" t="n"/>
      <c r="D78" s="233" t="n"/>
      <c r="E78" s="233" t="n"/>
      <c r="F78" s="233" t="n"/>
      <c r="G78" s="233" t="n"/>
      <c r="H78" s="233" t="n"/>
      <c r="I78" s="233" t="n"/>
      <c r="J78" s="233" t="n"/>
      <c r="K78" s="233" t="n"/>
      <c r="L78" s="233" t="n"/>
      <c r="M78" s="233" t="n"/>
      <c r="N78" s="233" t="n"/>
      <c r="O78" s="233" t="n"/>
      <c r="P78" s="233" t="n"/>
      <c r="Q78" s="233" t="n"/>
      <c r="R78" s="233" t="n"/>
      <c r="S78" s="233" t="n"/>
      <c r="T78" s="233" t="n"/>
      <c r="U78" s="233" t="n"/>
      <c r="V78" s="233" t="n"/>
      <c r="W78" s="233" t="n"/>
      <c r="X78" s="233" t="n"/>
      <c r="Y78" s="233" t="n"/>
      <c r="Z78" s="233" t="n"/>
      <c r="AA78" s="233" t="n"/>
      <c r="AB78" s="233" t="n"/>
      <c r="AC78" s="233" t="n"/>
      <c r="AD78" s="233" t="n"/>
      <c r="AE78" s="233" t="n"/>
      <c r="AF78" s="233" t="n"/>
      <c r="AG78" s="233" t="n"/>
      <c r="AH78" s="233" t="n"/>
      <c r="AI78" s="233" t="n"/>
      <c r="AJ78" s="233" t="n"/>
      <c r="AK78" s="233" t="n"/>
      <c r="AL78" s="233" t="n"/>
      <c r="AM78" s="233" t="n"/>
      <c r="AN78" s="233" t="n"/>
      <c r="AO78" s="233" t="n"/>
      <c r="AP78" s="233" t="n"/>
      <c r="AQ78" s="233" t="n"/>
      <c r="AR78" s="233" t="n"/>
    </row>
    <row r="79">
      <c r="A79" s="233" t="n"/>
      <c r="B79" s="233" t="n"/>
      <c r="C79" s="233" t="n"/>
      <c r="D79" s="233" t="n"/>
      <c r="E79" s="233" t="n"/>
      <c r="F79" s="233" t="n"/>
      <c r="G79" s="233" t="n"/>
      <c r="H79" s="233" t="n"/>
      <c r="I79" s="233" t="n"/>
      <c r="J79" s="233" t="n"/>
      <c r="K79" s="233" t="n"/>
      <c r="L79" s="233" t="n"/>
      <c r="M79" s="233" t="n"/>
      <c r="N79" s="233" t="n"/>
      <c r="O79" s="233" t="n"/>
      <c r="P79" s="233" t="n"/>
      <c r="Q79" s="233" t="n"/>
      <c r="R79" s="233" t="n"/>
      <c r="S79" s="233" t="n"/>
      <c r="T79" s="233" t="n"/>
      <c r="U79" s="233" t="n"/>
      <c r="V79" s="233" t="n"/>
      <c r="W79" s="233" t="n"/>
      <c r="X79" s="233" t="n"/>
      <c r="Y79" s="233" t="n"/>
      <c r="Z79" s="233" t="n"/>
      <c r="AA79" s="233" t="n"/>
      <c r="AB79" s="233" t="n"/>
      <c r="AC79" s="233" t="n"/>
      <c r="AD79" s="233" t="n"/>
      <c r="AE79" s="233" t="n"/>
      <c r="AF79" s="233" t="n"/>
      <c r="AG79" s="233" t="n"/>
      <c r="AH79" s="233" t="n"/>
      <c r="AI79" s="233" t="n"/>
      <c r="AJ79" s="233" t="n"/>
      <c r="AK79" s="233" t="n"/>
      <c r="AL79" s="233" t="n"/>
      <c r="AM79" s="233" t="n"/>
      <c r="AN79" s="233" t="n"/>
      <c r="AO79" s="233" t="n"/>
      <c r="AP79" s="233" t="n"/>
      <c r="AQ79" s="233" t="n"/>
      <c r="AR79" s="233" t="n"/>
    </row>
    <row r="80">
      <c r="A80" s="233" t="n"/>
      <c r="B80" s="233" t="n"/>
      <c r="C80" s="233" t="n"/>
      <c r="D80" s="233" t="n"/>
      <c r="E80" s="233" t="n"/>
      <c r="F80" s="233" t="n"/>
      <c r="G80" s="233" t="n"/>
      <c r="H80" s="233" t="n"/>
      <c r="I80" s="233" t="n"/>
      <c r="J80" s="233" t="n"/>
      <c r="K80" s="233" t="n"/>
      <c r="L80" s="233" t="n"/>
      <c r="M80" s="233" t="n"/>
      <c r="N80" s="233" t="n"/>
      <c r="O80" s="233" t="n"/>
      <c r="P80" s="233" t="n"/>
      <c r="Q80" s="233" t="n"/>
      <c r="R80" s="233" t="n"/>
      <c r="S80" s="233" t="n"/>
      <c r="T80" s="233" t="n"/>
      <c r="U80" s="233" t="n"/>
      <c r="V80" s="233" t="n"/>
      <c r="W80" s="233" t="n"/>
      <c r="X80" s="233" t="n"/>
      <c r="Y80" s="233" t="n"/>
      <c r="Z80" s="233" t="n"/>
      <c r="AA80" s="233" t="n"/>
      <c r="AB80" s="233" t="n"/>
      <c r="AC80" s="233" t="n"/>
      <c r="AD80" s="233" t="n"/>
      <c r="AE80" s="233" t="n"/>
      <c r="AF80" s="233" t="n"/>
      <c r="AG80" s="233" t="n"/>
      <c r="AH80" s="233" t="n"/>
      <c r="AI80" s="233" t="n"/>
      <c r="AJ80" s="233" t="n"/>
      <c r="AK80" s="233" t="n"/>
      <c r="AL80" s="233" t="n"/>
      <c r="AM80" s="233" t="n"/>
      <c r="AN80" s="233" t="n"/>
      <c r="AO80" s="233" t="n"/>
      <c r="AP80" s="233" t="n"/>
      <c r="AQ80" s="233" t="n"/>
      <c r="AR80" s="233" t="n"/>
    </row>
    <row r="81">
      <c r="A81" s="233" t="n"/>
      <c r="B81" s="233" t="n"/>
      <c r="C81" s="233" t="n"/>
      <c r="D81" s="233" t="n"/>
      <c r="E81" s="233" t="n"/>
      <c r="F81" s="233" t="n"/>
      <c r="G81" s="233" t="n"/>
      <c r="H81" s="233" t="n"/>
      <c r="I81" s="233" t="n"/>
      <c r="J81" s="233" t="n"/>
      <c r="K81" s="233" t="n"/>
      <c r="L81" s="233" t="n"/>
      <c r="M81" s="233" t="n"/>
      <c r="N81" s="233" t="n"/>
      <c r="O81" s="233" t="n"/>
      <c r="P81" s="233" t="n"/>
      <c r="Q81" s="233" t="n"/>
      <c r="R81" s="233" t="n"/>
      <c r="S81" s="233" t="n"/>
      <c r="T81" s="233" t="n"/>
      <c r="U81" s="233" t="n"/>
      <c r="V81" s="233" t="n"/>
      <c r="W81" s="233" t="n"/>
      <c r="X81" s="233" t="n"/>
      <c r="Y81" s="233" t="n"/>
      <c r="Z81" s="233" t="n"/>
      <c r="AA81" s="233" t="n"/>
      <c r="AB81" s="233" t="n"/>
      <c r="AC81" s="233" t="n"/>
      <c r="AD81" s="233" t="n"/>
      <c r="AE81" s="233" t="n"/>
      <c r="AF81" s="233" t="n"/>
      <c r="AG81" s="233" t="n"/>
      <c r="AH81" s="233" t="n"/>
      <c r="AI81" s="233" t="n"/>
      <c r="AJ81" s="233" t="n"/>
      <c r="AK81" s="233" t="n"/>
      <c r="AL81" s="233" t="n"/>
      <c r="AM81" s="233" t="n"/>
      <c r="AN81" s="233" t="n"/>
      <c r="AO81" s="233" t="n"/>
      <c r="AP81" s="233" t="n"/>
      <c r="AQ81" s="233" t="n"/>
      <c r="AR81" s="233" t="n"/>
    </row>
    <row r="82">
      <c r="A82" s="233" t="n"/>
      <c r="B82" s="233" t="n"/>
      <c r="C82" s="233" t="n"/>
      <c r="D82" s="233" t="n"/>
      <c r="E82" s="233" t="n"/>
      <c r="F82" s="233" t="n"/>
      <c r="G82" s="233" t="n"/>
      <c r="H82" s="233" t="n"/>
      <c r="I82" s="233" t="n"/>
      <c r="J82" s="233" t="n"/>
      <c r="K82" s="233" t="n"/>
      <c r="L82" s="233" t="n"/>
      <c r="M82" s="233" t="n"/>
      <c r="N82" s="233" t="n"/>
      <c r="O82" s="233" t="n"/>
      <c r="P82" s="233" t="n"/>
      <c r="Q82" s="233" t="n"/>
      <c r="R82" s="233" t="n"/>
      <c r="S82" s="233" t="n"/>
      <c r="T82" s="233" t="n"/>
      <c r="U82" s="233" t="n"/>
      <c r="V82" s="233" t="n"/>
      <c r="W82" s="233" t="n"/>
      <c r="X82" s="233" t="n"/>
      <c r="Y82" s="233" t="n"/>
      <c r="Z82" s="233" t="n"/>
      <c r="AA82" s="233" t="n"/>
      <c r="AB82" s="233" t="n"/>
      <c r="AC82" s="233" t="n"/>
      <c r="AD82" s="233" t="n"/>
      <c r="AE82" s="233" t="n"/>
      <c r="AF82" s="233" t="n"/>
      <c r="AG82" s="233" t="n"/>
      <c r="AH82" s="233" t="n"/>
      <c r="AI82" s="233" t="n"/>
      <c r="AJ82" s="233" t="n"/>
      <c r="AK82" s="233" t="n"/>
      <c r="AL82" s="233" t="n"/>
      <c r="AM82" s="233" t="n"/>
      <c r="AN82" s="233" t="n"/>
      <c r="AO82" s="233" t="n"/>
      <c r="AP82" s="233" t="n"/>
      <c r="AQ82" s="233" t="n"/>
      <c r="AR82" s="233" t="n"/>
    </row>
    <row r="83">
      <c r="A83" s="233" t="n"/>
      <c r="B83" s="233" t="n"/>
      <c r="C83" s="233" t="n"/>
      <c r="D83" s="233" t="n"/>
      <c r="E83" s="233" t="n"/>
      <c r="F83" s="233" t="n"/>
      <c r="G83" s="233" t="n"/>
      <c r="H83" s="233" t="n"/>
      <c r="I83" s="233" t="n"/>
      <c r="J83" s="233" t="n"/>
      <c r="K83" s="233" t="n"/>
      <c r="L83" s="233" t="n"/>
      <c r="M83" s="233" t="n"/>
      <c r="N83" s="233" t="n"/>
      <c r="O83" s="233" t="n"/>
      <c r="P83" s="233" t="n"/>
      <c r="Q83" s="233" t="n"/>
      <c r="R83" s="233" t="n"/>
      <c r="S83" s="233" t="n"/>
      <c r="T83" s="233" t="n"/>
      <c r="U83" s="233" t="n"/>
      <c r="V83" s="233" t="n"/>
      <c r="W83" s="233" t="n"/>
      <c r="X83" s="233" t="n"/>
      <c r="Y83" s="233" t="n"/>
      <c r="Z83" s="233" t="n"/>
      <c r="AA83" s="233" t="n"/>
      <c r="AB83" s="233" t="n"/>
      <c r="AC83" s="233" t="n"/>
      <c r="AD83" s="233" t="n"/>
      <c r="AE83" s="233" t="n"/>
      <c r="AF83" s="233" t="n"/>
      <c r="AG83" s="233" t="n"/>
      <c r="AH83" s="233" t="n"/>
      <c r="AI83" s="233" t="n"/>
      <c r="AJ83" s="233" t="n"/>
      <c r="AK83" s="233" t="n"/>
      <c r="AL83" s="233" t="n"/>
      <c r="AM83" s="233" t="n"/>
      <c r="AN83" s="233" t="n"/>
      <c r="AO83" s="233" t="n"/>
      <c r="AP83" s="233" t="n"/>
      <c r="AQ83" s="233" t="n"/>
      <c r="AR83" s="233" t="n"/>
    </row>
    <row r="84">
      <c r="A84" s="233" t="n"/>
      <c r="B84" s="233" t="n"/>
      <c r="C84" s="233" t="n"/>
      <c r="D84" s="233" t="n"/>
      <c r="E84" s="233" t="n"/>
      <c r="F84" s="233" t="n"/>
      <c r="G84" s="233" t="n"/>
      <c r="H84" s="233" t="n"/>
      <c r="I84" s="233" t="n"/>
      <c r="J84" s="233" t="n"/>
      <c r="K84" s="233" t="n"/>
      <c r="L84" s="233" t="n"/>
      <c r="M84" s="233" t="n"/>
      <c r="N84" s="233" t="n"/>
      <c r="O84" s="233" t="n"/>
      <c r="P84" s="233" t="n"/>
      <c r="Q84" s="233" t="n"/>
      <c r="R84" s="233" t="n"/>
      <c r="S84" s="233" t="n"/>
      <c r="T84" s="233" t="n"/>
      <c r="U84" s="233" t="n"/>
      <c r="V84" s="233" t="n"/>
      <c r="W84" s="233" t="n"/>
      <c r="X84" s="233" t="n"/>
      <c r="Y84" s="233" t="n"/>
      <c r="Z84" s="233" t="n"/>
      <c r="AA84" s="233" t="n"/>
      <c r="AB84" s="233" t="n"/>
      <c r="AC84" s="233" t="n"/>
      <c r="AD84" s="233" t="n"/>
      <c r="AE84" s="233" t="n"/>
      <c r="AF84" s="233" t="n"/>
      <c r="AG84" s="233" t="n"/>
      <c r="AH84" s="233" t="n"/>
      <c r="AI84" s="233" t="n"/>
      <c r="AJ84" s="233" t="n"/>
      <c r="AK84" s="233" t="n"/>
      <c r="AL84" s="233" t="n"/>
      <c r="AM84" s="233" t="n"/>
      <c r="AN84" s="233" t="n"/>
      <c r="AO84" s="233" t="n"/>
      <c r="AP84" s="233" t="n"/>
      <c r="AQ84" s="233" t="n"/>
      <c r="AR84" s="233" t="n"/>
    </row>
    <row r="85">
      <c r="A85" s="233" t="n"/>
      <c r="B85" s="233" t="n"/>
      <c r="C85" s="233" t="n"/>
      <c r="D85" s="233" t="n"/>
      <c r="E85" s="233" t="n"/>
      <c r="F85" s="233" t="n"/>
      <c r="G85" s="233" t="n"/>
      <c r="H85" s="233" t="n"/>
      <c r="I85" s="233" t="n"/>
      <c r="J85" s="233" t="n"/>
      <c r="K85" s="233" t="n"/>
      <c r="L85" s="233" t="n"/>
      <c r="M85" s="233" t="n"/>
      <c r="N85" s="233" t="n"/>
      <c r="O85" s="233" t="n"/>
      <c r="P85" s="233" t="n"/>
      <c r="Q85" s="233" t="n"/>
      <c r="R85" s="233" t="n"/>
      <c r="S85" s="233" t="n"/>
      <c r="T85" s="233" t="n"/>
      <c r="U85" s="233" t="n"/>
      <c r="V85" s="233" t="n"/>
      <c r="W85" s="233" t="n"/>
      <c r="X85" s="233" t="n"/>
      <c r="Y85" s="233" t="n"/>
      <c r="Z85" s="233" t="n"/>
      <c r="AA85" s="233" t="n"/>
      <c r="AB85" s="233" t="n"/>
      <c r="AC85" s="233" t="n"/>
      <c r="AD85" s="233" t="n"/>
      <c r="AE85" s="233" t="n"/>
      <c r="AF85" s="233" t="n"/>
      <c r="AG85" s="233" t="n"/>
      <c r="AH85" s="233" t="n"/>
      <c r="AI85" s="233" t="n"/>
      <c r="AJ85" s="233" t="n"/>
      <c r="AK85" s="233" t="n"/>
      <c r="AL85" s="233" t="n"/>
      <c r="AM85" s="233" t="n"/>
      <c r="AN85" s="233" t="n"/>
      <c r="AO85" s="233" t="n"/>
      <c r="AP85" s="233" t="n"/>
      <c r="AQ85" s="233" t="n"/>
      <c r="AR85" s="233" t="n"/>
    </row>
    <row r="86">
      <c r="A86" s="233" t="n"/>
      <c r="B86" s="233" t="n"/>
      <c r="C86" s="233" t="n"/>
      <c r="D86" s="233" t="n"/>
      <c r="E86" s="233" t="n"/>
      <c r="F86" s="233" t="n"/>
      <c r="G86" s="233" t="n"/>
      <c r="H86" s="233" t="n"/>
      <c r="I86" s="233" t="n"/>
      <c r="J86" s="233" t="n"/>
      <c r="K86" s="233" t="n"/>
      <c r="L86" s="233" t="n"/>
      <c r="M86" s="233" t="n"/>
      <c r="N86" s="233" t="n"/>
      <c r="O86" s="233" t="n"/>
      <c r="P86" s="233" t="n"/>
      <c r="Q86" s="233" t="n"/>
      <c r="R86" s="233" t="n"/>
      <c r="S86" s="233" t="n"/>
      <c r="T86" s="233" t="n"/>
      <c r="U86" s="233" t="n"/>
      <c r="V86" s="233" t="n"/>
      <c r="W86" s="233" t="n"/>
      <c r="X86" s="233" t="n"/>
      <c r="Y86" s="233" t="n"/>
      <c r="Z86" s="233" t="n"/>
      <c r="AA86" s="233" t="n"/>
      <c r="AB86" s="233" t="n"/>
      <c r="AC86" s="233" t="n"/>
      <c r="AD86" s="233" t="n"/>
      <c r="AE86" s="233" t="n"/>
      <c r="AF86" s="233" t="n"/>
      <c r="AG86" s="233" t="n"/>
      <c r="AH86" s="233" t="n"/>
      <c r="AI86" s="233" t="n"/>
      <c r="AJ86" s="233" t="n"/>
      <c r="AK86" s="233" t="n"/>
      <c r="AL86" s="233" t="n"/>
      <c r="AM86" s="233" t="n"/>
      <c r="AN86" s="233" t="n"/>
      <c r="AO86" s="233" t="n"/>
      <c r="AP86" s="233" t="n"/>
      <c r="AQ86" s="233" t="n"/>
      <c r="AR86" s="233" t="n"/>
    </row>
    <row r="87">
      <c r="A87" s="233" t="n"/>
      <c r="B87" s="233" t="n"/>
      <c r="C87" s="233" t="n"/>
      <c r="D87" s="233" t="n"/>
      <c r="E87" s="233" t="n"/>
      <c r="F87" s="233" t="n"/>
      <c r="G87" s="233" t="n"/>
      <c r="H87" s="233" t="n"/>
      <c r="I87" s="233" t="n"/>
      <c r="J87" s="233" t="n"/>
      <c r="K87" s="233" t="n"/>
      <c r="L87" s="233" t="n"/>
      <c r="M87" s="233" t="n"/>
      <c r="N87" s="233" t="n"/>
      <c r="O87" s="233" t="n"/>
      <c r="P87" s="233" t="n"/>
      <c r="Q87" s="233" t="n"/>
      <c r="R87" s="233" t="n"/>
      <c r="S87" s="233" t="n"/>
      <c r="T87" s="233" t="n"/>
      <c r="U87" s="233" t="n"/>
      <c r="V87" s="233" t="n"/>
      <c r="W87" s="233" t="n"/>
      <c r="X87" s="233" t="n"/>
      <c r="Y87" s="233" t="n"/>
      <c r="Z87" s="233" t="n"/>
      <c r="AA87" s="233" t="n"/>
      <c r="AB87" s="233" t="n"/>
      <c r="AC87" s="233" t="n"/>
      <c r="AD87" s="233" t="n"/>
      <c r="AE87" s="233" t="n"/>
      <c r="AF87" s="233" t="n"/>
      <c r="AG87" s="233" t="n"/>
      <c r="AH87" s="233" t="n"/>
      <c r="AI87" s="233" t="n"/>
      <c r="AJ87" s="233" t="n"/>
      <c r="AK87" s="233" t="n"/>
      <c r="AL87" s="233" t="n"/>
      <c r="AM87" s="233" t="n"/>
      <c r="AN87" s="233" t="n"/>
      <c r="AO87" s="233" t="n"/>
      <c r="AP87" s="233" t="n"/>
      <c r="AQ87" s="233" t="n"/>
      <c r="AR87" s="233" t="n"/>
    </row>
    <row r="88">
      <c r="A88" s="233" t="n"/>
      <c r="B88" s="233" t="n"/>
      <c r="C88" s="233" t="n"/>
      <c r="D88" s="233" t="n"/>
      <c r="E88" s="233" t="n"/>
      <c r="F88" s="233" t="n"/>
      <c r="G88" s="233" t="n"/>
      <c r="H88" s="233" t="n"/>
      <c r="I88" s="233" t="n"/>
      <c r="J88" s="233" t="n"/>
      <c r="K88" s="233" t="n"/>
      <c r="L88" s="233" t="n"/>
      <c r="M88" s="233" t="n"/>
      <c r="N88" s="233" t="n"/>
      <c r="O88" s="233" t="n"/>
      <c r="P88" s="233" t="n"/>
      <c r="Q88" s="233" t="n"/>
      <c r="R88" s="233" t="n"/>
      <c r="S88" s="233" t="n"/>
      <c r="T88" s="233" t="n"/>
      <c r="U88" s="233" t="n"/>
      <c r="V88" s="233" t="n"/>
      <c r="W88" s="233" t="n"/>
      <c r="X88" s="233" t="n"/>
      <c r="Y88" s="233" t="n"/>
      <c r="Z88" s="233" t="n"/>
      <c r="AA88" s="233" t="n"/>
      <c r="AB88" s="233" t="n"/>
      <c r="AC88" s="233" t="n"/>
      <c r="AD88" s="233" t="n"/>
      <c r="AE88" s="233" t="n"/>
      <c r="AF88" s="233" t="n"/>
      <c r="AG88" s="233" t="n"/>
      <c r="AH88" s="233" t="n"/>
      <c r="AI88" s="233" t="n"/>
      <c r="AJ88" s="233" t="n"/>
      <c r="AK88" s="233" t="n"/>
      <c r="AL88" s="233" t="n"/>
      <c r="AM88" s="233" t="n"/>
      <c r="AN88" s="233" t="n"/>
      <c r="AO88" s="233" t="n"/>
      <c r="AP88" s="233" t="n"/>
      <c r="AQ88" s="233" t="n"/>
      <c r="AR88" s="233" t="n"/>
    </row>
    <row r="89">
      <c r="A89" s="233" t="n"/>
      <c r="B89" s="233" t="n"/>
      <c r="C89" s="233" t="n"/>
      <c r="D89" s="233" t="n"/>
      <c r="E89" s="233" t="n"/>
      <c r="F89" s="233" t="n"/>
      <c r="G89" s="233" t="n"/>
      <c r="H89" s="233" t="n"/>
      <c r="I89" s="233" t="n"/>
      <c r="J89" s="233" t="n"/>
      <c r="K89" s="233" t="n"/>
      <c r="L89" s="233" t="n"/>
      <c r="M89" s="233" t="n"/>
      <c r="N89" s="233" t="n"/>
      <c r="O89" s="233" t="n"/>
      <c r="P89" s="233" t="n"/>
      <c r="Q89" s="233" t="n"/>
      <c r="R89" s="233" t="n"/>
      <c r="S89" s="233" t="n"/>
      <c r="T89" s="233" t="n"/>
      <c r="U89" s="233" t="n"/>
      <c r="V89" s="233" t="n"/>
      <c r="W89" s="233" t="n"/>
      <c r="X89" s="233" t="n"/>
      <c r="Y89" s="233" t="n"/>
      <c r="Z89" s="233" t="n"/>
      <c r="AA89" s="233" t="n"/>
      <c r="AB89" s="233" t="n"/>
      <c r="AC89" s="233" t="n"/>
      <c r="AD89" s="233" t="n"/>
      <c r="AE89" s="233" t="n"/>
      <c r="AF89" s="233" t="n"/>
      <c r="AG89" s="233" t="n"/>
      <c r="AH89" s="233" t="n"/>
      <c r="AI89" s="233" t="n"/>
      <c r="AJ89" s="233" t="n"/>
      <c r="AK89" s="233" t="n"/>
      <c r="AL89" s="233" t="n"/>
      <c r="AM89" s="233" t="n"/>
      <c r="AN89" s="233" t="n"/>
      <c r="AO89" s="233" t="n"/>
      <c r="AP89" s="233" t="n"/>
      <c r="AQ89" s="233" t="n"/>
      <c r="AR89" s="233" t="n"/>
    </row>
    <row r="90">
      <c r="A90" s="233" t="n"/>
      <c r="B90" s="233" t="n"/>
      <c r="C90" s="233" t="n"/>
      <c r="D90" s="233" t="n"/>
      <c r="E90" s="233" t="n"/>
      <c r="F90" s="233" t="n"/>
      <c r="G90" s="233" t="n"/>
      <c r="H90" s="233" t="n"/>
      <c r="I90" s="233" t="n"/>
      <c r="J90" s="233" t="n"/>
      <c r="K90" s="233" t="n"/>
      <c r="L90" s="233" t="n"/>
      <c r="M90" s="233" t="n"/>
      <c r="N90" s="233" t="n"/>
      <c r="O90" s="233" t="n"/>
      <c r="P90" s="233" t="n"/>
      <c r="Q90" s="233" t="n"/>
      <c r="R90" s="233" t="n"/>
      <c r="S90" s="233" t="n"/>
      <c r="T90" s="233" t="n"/>
      <c r="U90" s="233" t="n"/>
      <c r="V90" s="233" t="n"/>
      <c r="W90" s="233" t="n"/>
      <c r="X90" s="233" t="n"/>
      <c r="Y90" s="233" t="n"/>
      <c r="Z90" s="233" t="n"/>
      <c r="AA90" s="233" t="n"/>
      <c r="AB90" s="233" t="n"/>
      <c r="AC90" s="233" t="n"/>
      <c r="AD90" s="233" t="n"/>
      <c r="AE90" s="233" t="n"/>
      <c r="AF90" s="233" t="n"/>
      <c r="AG90" s="233" t="n"/>
      <c r="AH90" s="233" t="n"/>
      <c r="AI90" s="233" t="n"/>
      <c r="AJ90" s="233" t="n"/>
      <c r="AK90" s="233" t="n"/>
      <c r="AL90" s="233" t="n"/>
      <c r="AM90" s="233" t="n"/>
      <c r="AN90" s="233" t="n"/>
      <c r="AO90" s="233" t="n"/>
      <c r="AP90" s="233" t="n"/>
      <c r="AQ90" s="233" t="n"/>
      <c r="AR90" s="233" t="n"/>
    </row>
  </sheetData>
  <mergeCells count="153">
    <mergeCell ref="AJ33:AM33"/>
    <mergeCell ref="U40:V40"/>
    <mergeCell ref="L42:N42"/>
    <mergeCell ref="AO4:AR4"/>
    <mergeCell ref="U15:V15"/>
    <mergeCell ref="W15:X15"/>
    <mergeCell ref="AE41:AF41"/>
    <mergeCell ref="AO32:AP32"/>
    <mergeCell ref="U23:X23"/>
    <mergeCell ref="U38:X38"/>
    <mergeCell ref="AO6:AR6"/>
    <mergeCell ref="AO13:AP13"/>
    <mergeCell ref="G24:I24"/>
    <mergeCell ref="K4:N4"/>
    <mergeCell ref="A7:B7"/>
    <mergeCell ref="AE4:AH4"/>
    <mergeCell ref="AJ9:AM9"/>
    <mergeCell ref="AF42:AH42"/>
    <mergeCell ref="AO37:AP37"/>
    <mergeCell ref="U16:V16"/>
    <mergeCell ref="A1:AR1"/>
    <mergeCell ref="AP45:AR45"/>
    <mergeCell ref="A24:D24"/>
    <mergeCell ref="AE17:AF17"/>
    <mergeCell ref="F23:G23"/>
    <mergeCell ref="AK36:AM36"/>
    <mergeCell ref="Z29:AA29"/>
    <mergeCell ref="U28:V28"/>
    <mergeCell ref="AP21:AR21"/>
    <mergeCell ref="AO24:AR24"/>
    <mergeCell ref="AO18:AR18"/>
    <mergeCell ref="G36:I36"/>
    <mergeCell ref="AO25:AP25"/>
    <mergeCell ref="A19:B19"/>
    <mergeCell ref="U14:V14"/>
    <mergeCell ref="AO49:AP49"/>
    <mergeCell ref="W14:X14"/>
    <mergeCell ref="A42:D42"/>
    <mergeCell ref="AK12:AM12"/>
    <mergeCell ref="Z23:AC23"/>
    <mergeCell ref="AP51:AR51"/>
    <mergeCell ref="AJ47:AK47"/>
    <mergeCell ref="F10:G10"/>
    <mergeCell ref="L18:N18"/>
    <mergeCell ref="K39:N39"/>
    <mergeCell ref="F34:G34"/>
    <mergeCell ref="AJ4:AM4"/>
    <mergeCell ref="AO36:AR36"/>
    <mergeCell ref="U4:X4"/>
    <mergeCell ref="A48:D48"/>
    <mergeCell ref="V41:X41"/>
    <mergeCell ref="A30:D30"/>
    <mergeCell ref="AP27:AR27"/>
    <mergeCell ref="A37:B37"/>
    <mergeCell ref="B9:D9"/>
    <mergeCell ref="K41:L41"/>
    <mergeCell ref="AJ10:AK10"/>
    <mergeCell ref="K15:N15"/>
    <mergeCell ref="AO14:AP14"/>
    <mergeCell ref="Z27:AC27"/>
    <mergeCell ref="A26:B26"/>
    <mergeCell ref="F47:G47"/>
    <mergeCell ref="W16:X16"/>
    <mergeCell ref="AJ34:AK34"/>
    <mergeCell ref="B45:D45"/>
    <mergeCell ref="AO38:AP38"/>
    <mergeCell ref="AO12:AR12"/>
    <mergeCell ref="F46:G46"/>
    <mergeCell ref="AF18:AH18"/>
    <mergeCell ref="P28:Q28"/>
    <mergeCell ref="A8:B8"/>
    <mergeCell ref="F33:I33"/>
    <mergeCell ref="AO26:AP26"/>
    <mergeCell ref="F45:I45"/>
    <mergeCell ref="K17:L17"/>
    <mergeCell ref="AP9:AR9"/>
    <mergeCell ref="AP39:AR39"/>
    <mergeCell ref="U10:V10"/>
    <mergeCell ref="B21:D21"/>
    <mergeCell ref="B39:D39"/>
    <mergeCell ref="AJ22:AK22"/>
    <mergeCell ref="K16:L16"/>
    <mergeCell ref="U9:V9"/>
    <mergeCell ref="AO8:AP8"/>
    <mergeCell ref="F9:I9"/>
    <mergeCell ref="AJ45:AM45"/>
    <mergeCell ref="U8:X8"/>
    <mergeCell ref="A49:B49"/>
    <mergeCell ref="AJ23:AK23"/>
    <mergeCell ref="F4:I4"/>
    <mergeCell ref="Q30:S30"/>
    <mergeCell ref="AJ21:AM21"/>
    <mergeCell ref="K40:L40"/>
    <mergeCell ref="A36:D36"/>
    <mergeCell ref="B51:D51"/>
    <mergeCell ref="U5:X6"/>
    <mergeCell ref="AO20:AP20"/>
    <mergeCell ref="A32:B32"/>
    <mergeCell ref="A14:B14"/>
    <mergeCell ref="F22:G22"/>
    <mergeCell ref="G12:I12"/>
    <mergeCell ref="AK48:AM48"/>
    <mergeCell ref="AO44:AP44"/>
    <mergeCell ref="AE40:AF40"/>
    <mergeCell ref="P27:S27"/>
    <mergeCell ref="AO31:AP31"/>
    <mergeCell ref="A38:B38"/>
    <mergeCell ref="AJ35:AK35"/>
    <mergeCell ref="AE39:AH39"/>
    <mergeCell ref="A2:AR2"/>
    <mergeCell ref="A43:B43"/>
    <mergeCell ref="A12:D12"/>
    <mergeCell ref="AO30:AR30"/>
    <mergeCell ref="Z28:AA28"/>
    <mergeCell ref="U13:X13"/>
    <mergeCell ref="AO42:AR42"/>
    <mergeCell ref="F11:G11"/>
    <mergeCell ref="AK24:AM24"/>
    <mergeCell ref="P29:Q29"/>
    <mergeCell ref="W10:X10"/>
    <mergeCell ref="A4:D4"/>
    <mergeCell ref="AE16:AF16"/>
    <mergeCell ref="AO7:AP7"/>
    <mergeCell ref="AJ11:AK11"/>
    <mergeCell ref="AJ46:AK46"/>
    <mergeCell ref="AE15:AH15"/>
    <mergeCell ref="V30:X30"/>
    <mergeCell ref="AP15:AR15"/>
    <mergeCell ref="A25:B25"/>
    <mergeCell ref="AO19:AP19"/>
    <mergeCell ref="B15:D15"/>
    <mergeCell ref="F35:G35"/>
    <mergeCell ref="AO43:AP43"/>
    <mergeCell ref="A50:B50"/>
    <mergeCell ref="B33:D33"/>
    <mergeCell ref="AO48:AR48"/>
    <mergeCell ref="U27:X27"/>
    <mergeCell ref="A6:D6"/>
    <mergeCell ref="F21:I21"/>
    <mergeCell ref="W9:X9"/>
    <mergeCell ref="U39:V39"/>
    <mergeCell ref="A20:B20"/>
    <mergeCell ref="A18:D18"/>
    <mergeCell ref="P23:S23"/>
    <mergeCell ref="AO50:AP50"/>
    <mergeCell ref="AP33:AR33"/>
    <mergeCell ref="U29:V29"/>
    <mergeCell ref="B27:D27"/>
    <mergeCell ref="A13:B13"/>
    <mergeCell ref="A44:B44"/>
    <mergeCell ref="G48:I48"/>
    <mergeCell ref="A31:B31"/>
    <mergeCell ref="AA30:AC30"/>
  </mergeCells>
  <conditionalFormatting sqref="B9:D9">
    <cfRule type="expression" priority="1" dxfId="2">
      <formula>B9&lt;&gt;""</formula>
    </cfRule>
  </conditionalFormatting>
  <conditionalFormatting sqref="B15:D15">
    <cfRule type="expression" priority="2" dxfId="2">
      <formula>B15&lt;&gt;""</formula>
    </cfRule>
  </conditionalFormatting>
  <conditionalFormatting sqref="B21:D21">
    <cfRule type="expression" priority="3" dxfId="2">
      <formula>B21&lt;&gt;""</formula>
    </cfRule>
  </conditionalFormatting>
  <conditionalFormatting sqref="B27:D27">
    <cfRule type="expression" priority="4" dxfId="2">
      <formula>B27&lt;&gt;""</formula>
    </cfRule>
  </conditionalFormatting>
  <conditionalFormatting sqref="B33:D33">
    <cfRule type="expression" priority="5" dxfId="2">
      <formula>B33&lt;&gt;""</formula>
    </cfRule>
  </conditionalFormatting>
  <conditionalFormatting sqref="B39:D39">
    <cfRule type="expression" priority="6" dxfId="2">
      <formula>B39&lt;&gt;""</formula>
    </cfRule>
  </conditionalFormatting>
  <conditionalFormatting sqref="B45:D45">
    <cfRule type="expression" priority="7" dxfId="2">
      <formula>B45&lt;&gt;""</formula>
    </cfRule>
  </conditionalFormatting>
  <conditionalFormatting sqref="B51:D51">
    <cfRule type="expression" priority="8" dxfId="2">
      <formula>B51&lt;&gt;""</formula>
    </cfRule>
  </conditionalFormatting>
  <conditionalFormatting sqref="AP9:AR9">
    <cfRule type="expression" priority="9" dxfId="2">
      <formula>AP9&lt;&gt;""</formula>
    </cfRule>
  </conditionalFormatting>
  <conditionalFormatting sqref="AP15:AR15">
    <cfRule type="expression" priority="10" dxfId="2">
      <formula>AP15&lt;&gt;""</formula>
    </cfRule>
  </conditionalFormatting>
  <conditionalFormatting sqref="AP21:AR21">
    <cfRule type="expression" priority="11" dxfId="2">
      <formula>AP21&lt;&gt;""</formula>
    </cfRule>
  </conditionalFormatting>
  <conditionalFormatting sqref="AP27:AR27">
    <cfRule type="expression" priority="12" dxfId="2">
      <formula>AP27&lt;&gt;""</formula>
    </cfRule>
  </conditionalFormatting>
  <conditionalFormatting sqref="AP33:AR33">
    <cfRule type="expression" priority="13" dxfId="2">
      <formula>AP33&lt;&gt;""</formula>
    </cfRule>
  </conditionalFormatting>
  <conditionalFormatting sqref="AP39:AR39">
    <cfRule type="expression" priority="14" dxfId="2">
      <formula>AP39&lt;&gt;""</formula>
    </cfRule>
  </conditionalFormatting>
  <conditionalFormatting sqref="AP45:AR45">
    <cfRule type="expression" priority="15" dxfId="2">
      <formula>AP45&lt;&gt;""</formula>
    </cfRule>
  </conditionalFormatting>
  <conditionalFormatting sqref="AP51:AR51">
    <cfRule type="expression" priority="16" dxfId="2">
      <formula>AP51&lt;&gt;""</formula>
    </cfRule>
  </conditionalFormatting>
  <conditionalFormatting sqref="G12:I12">
    <cfRule type="expression" priority="17" dxfId="2">
      <formula>G12&lt;&gt;""</formula>
    </cfRule>
  </conditionalFormatting>
  <conditionalFormatting sqref="G24:I24">
    <cfRule type="expression" priority="18" dxfId="2">
      <formula>G24&lt;&gt;""</formula>
    </cfRule>
  </conditionalFormatting>
  <conditionalFormatting sqref="G36:I36">
    <cfRule type="expression" priority="19" dxfId="2">
      <formula>G36&lt;&gt;""</formula>
    </cfRule>
  </conditionalFormatting>
  <conditionalFormatting sqref="G48:I48">
    <cfRule type="expression" priority="20" dxfId="2">
      <formula>G48&lt;&gt;""</formula>
    </cfRule>
  </conditionalFormatting>
  <conditionalFormatting sqref="AK12:AM12">
    <cfRule type="expression" priority="21" dxfId="2">
      <formula>AK12&lt;&gt;""</formula>
    </cfRule>
  </conditionalFormatting>
  <conditionalFormatting sqref="AK24:AM24">
    <cfRule type="expression" priority="22" dxfId="2">
      <formula>AK24&lt;&gt;""</formula>
    </cfRule>
  </conditionalFormatting>
  <conditionalFormatting sqref="AK36:AM36">
    <cfRule type="expression" priority="23" dxfId="2">
      <formula>AK36&lt;&gt;""</formula>
    </cfRule>
  </conditionalFormatting>
  <conditionalFormatting sqref="AK48:AM48">
    <cfRule type="expression" priority="24" dxfId="2">
      <formula>AK48&lt;&gt;""</formula>
    </cfRule>
  </conditionalFormatting>
  <conditionalFormatting sqref="L18:N18">
    <cfRule type="expression" priority="25" dxfId="2">
      <formula>L18&lt;&gt;""</formula>
    </cfRule>
  </conditionalFormatting>
  <conditionalFormatting sqref="L42:N42">
    <cfRule type="expression" priority="26" dxfId="2">
      <formula>L42&lt;&gt;""</formula>
    </cfRule>
  </conditionalFormatting>
  <conditionalFormatting sqref="AF18:AH18">
    <cfRule type="expression" priority="27" dxfId="2">
      <formula>AF18&lt;&gt;""</formula>
    </cfRule>
  </conditionalFormatting>
  <conditionalFormatting sqref="AF42:AH42">
    <cfRule type="expression" priority="28" dxfId="2">
      <formula>AF42&lt;&gt;""</formula>
    </cfRule>
  </conditionalFormatting>
  <conditionalFormatting sqref="Q30:S30">
    <cfRule type="expression" priority="29" dxfId="2">
      <formula>Q30&lt;&gt;""</formula>
    </cfRule>
  </conditionalFormatting>
  <conditionalFormatting sqref="AA30:AC30">
    <cfRule type="expression" priority="30" dxfId="2">
      <formula>AA30&lt;&gt;""</formula>
    </cfRule>
  </conditionalFormatting>
  <conditionalFormatting sqref="V30:X30">
    <cfRule type="expression" priority="31" dxfId="2">
      <formula>V30&lt;&gt;""</formula>
    </cfRule>
  </conditionalFormatting>
  <conditionalFormatting sqref="V41:X41">
    <cfRule type="expression" priority="32" dxfId="2">
      <formula>V41&lt;&gt;""</formula>
    </cfRule>
  </conditionalFormatting>
  <conditionalFormatting sqref="U5:X6">
    <cfRule type="expression" priority="33" dxfId="2">
      <formula>$U$5&lt;&gt;"TBD"</formula>
    </cfRule>
  </conditionalFormatting>
  <dataValidations count="32">
    <dataValidation sqref="D8" showDropDown="0" showInputMessage="0" showErrorMessage="0" allowBlank="0" type="list">
      <formula1>Setup!$H$3:$H$4</formula1>
    </dataValidation>
    <dataValidation sqref="D14" showDropDown="0" showInputMessage="0" showErrorMessage="0" allowBlank="0" type="list">
      <formula1>Setup!$H$5:$H$6</formula1>
    </dataValidation>
    <dataValidation sqref="D20" showDropDown="0" showInputMessage="0" showErrorMessage="0" allowBlank="0" type="list">
      <formula1>Setup!$H$7:$H$8</formula1>
    </dataValidation>
    <dataValidation sqref="D26" showDropDown="0" showInputMessage="0" showErrorMessage="0" allowBlank="0" type="list">
      <formula1>Setup!$H$9:$H$10</formula1>
    </dataValidation>
    <dataValidation sqref="D32" showDropDown="0" showInputMessage="0" showErrorMessage="0" allowBlank="0" type="list">
      <formula1>Setup!$H$11:$H$12</formula1>
    </dataValidation>
    <dataValidation sqref="D38" showDropDown="0" showInputMessage="0" showErrorMessage="0" allowBlank="0" type="list">
      <formula1>Setup!$H$13:$H$14</formula1>
    </dataValidation>
    <dataValidation sqref="D44" showDropDown="0" showInputMessage="0" showErrorMessage="0" allowBlank="0" type="list">
      <formula1>Setup!$H$15:$H$16</formula1>
    </dataValidation>
    <dataValidation sqref="D50" showDropDown="0" showInputMessage="0" showErrorMessage="0" allowBlank="0" type="list">
      <formula1>Setup!$H$17:$H$18</formula1>
    </dataValidation>
    <dataValidation sqref="AR8" showDropDown="0" showInputMessage="0" showErrorMessage="0" allowBlank="0" type="list">
      <formula1>Setup!$H$19:$H$20</formula1>
    </dataValidation>
    <dataValidation sqref="AR14" showDropDown="0" showInputMessage="0" showErrorMessage="0" allowBlank="0" type="list">
      <formula1>Setup!$H$21:$H$22</formula1>
    </dataValidation>
    <dataValidation sqref="AR20" showDropDown="0" showInputMessage="0" showErrorMessage="0" allowBlank="0" type="list">
      <formula1>Setup!$H$23:$H$24</formula1>
    </dataValidation>
    <dataValidation sqref="AR26" showDropDown="0" showInputMessage="0" showErrorMessage="0" allowBlank="0" type="list">
      <formula1>Setup!$H$25:$H$26</formula1>
    </dataValidation>
    <dataValidation sqref="AR32" showDropDown="0" showInputMessage="0" showErrorMessage="0" allowBlank="0" type="list">
      <formula1>Setup!$H$27:$H$28</formula1>
    </dataValidation>
    <dataValidation sqref="AR38" showDropDown="0" showInputMessage="0" showErrorMessage="0" allowBlank="0" type="list">
      <formula1>Setup!$H$29:$H$30</formula1>
    </dataValidation>
    <dataValidation sqref="AR44" showDropDown="0" showInputMessage="0" showErrorMessage="0" allowBlank="0" type="list">
      <formula1>Setup!$H$31:$H$32</formula1>
    </dataValidation>
    <dataValidation sqref="AR50" showDropDown="0" showInputMessage="0" showErrorMessage="0" allowBlank="0" type="list">
      <formula1>Setup!$H$33:$H$34</formula1>
    </dataValidation>
    <dataValidation sqref="I11" showDropDown="0" showInputMessage="0" showErrorMessage="0" allowBlank="0" type="list">
      <formula1>Setup!$H$35:$H$36</formula1>
    </dataValidation>
    <dataValidation sqref="I23" showDropDown="0" showInputMessage="0" showErrorMessage="0" allowBlank="0" type="list">
      <formula1>Setup!$H$37:$H$38</formula1>
    </dataValidation>
    <dataValidation sqref="I35" showDropDown="0" showInputMessage="0" showErrorMessage="0" allowBlank="0" type="list">
      <formula1>Setup!$H$39:$H$40</formula1>
    </dataValidation>
    <dataValidation sqref="I47" showDropDown="0" showInputMessage="0" showErrorMessage="0" allowBlank="0" type="list">
      <formula1>Setup!$H$41:$H$42</formula1>
    </dataValidation>
    <dataValidation sqref="AM11" showDropDown="0" showInputMessage="0" showErrorMessage="0" allowBlank="0" type="list">
      <formula1>Setup!$H$43:$H$44</formula1>
    </dataValidation>
    <dataValidation sqref="AM23" showDropDown="0" showInputMessage="0" showErrorMessage="0" allowBlank="0" type="list">
      <formula1>Setup!$H$45:$H$46</formula1>
    </dataValidation>
    <dataValidation sqref="AM35" showDropDown="0" showInputMessage="0" showErrorMessage="0" allowBlank="0" type="list">
      <formula1>Setup!$H$47:$H$48</formula1>
    </dataValidation>
    <dataValidation sqref="AM47" showDropDown="0" showInputMessage="0" showErrorMessage="0" allowBlank="0" type="list">
      <formula1>Setup!$H$49:$H$50</formula1>
    </dataValidation>
    <dataValidation sqref="N17" showDropDown="0" showInputMessage="0" showErrorMessage="0" allowBlank="0" type="list">
      <formula1>Setup!$H$51:$H$52</formula1>
    </dataValidation>
    <dataValidation sqref="N41" showDropDown="0" showInputMessage="0" showErrorMessage="0" allowBlank="0" type="list">
      <formula1>Setup!$H$53:$H$54</formula1>
    </dataValidation>
    <dataValidation sqref="AH17" showDropDown="0" showInputMessage="0" showErrorMessage="0" allowBlank="0" type="list">
      <formula1>Setup!$H$55:$H$56</formula1>
    </dataValidation>
    <dataValidation sqref="AH41" showDropDown="0" showInputMessage="0" showErrorMessage="0" allowBlank="0" type="list">
      <formula1>Setup!$H$57:$H$58</formula1>
    </dataValidation>
    <dataValidation sqref="S29" showDropDown="0" showInputMessage="0" showErrorMessage="0" allowBlank="0" type="list">
      <formula1>Setup!$H$59:$H$60</formula1>
    </dataValidation>
    <dataValidation sqref="AC29" showDropDown="0" showInputMessage="0" showErrorMessage="0" allowBlank="0" type="list">
      <formula1>Setup!$H$61:$H$62</formula1>
    </dataValidation>
    <dataValidation sqref="X29" showDropDown="0" showInputMessage="0" showErrorMessage="0" allowBlank="0" type="list">
      <formula1>Setup!$H$63:$H$64</formula1>
    </dataValidation>
    <dataValidation sqref="X40" showDropDown="0" showInputMessage="0" showErrorMessage="0" allowBlank="0" type="list">
      <formula1>Setup!$H$65:$H$66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cols>
    <col width="9" customWidth="1" style="28" min="1" max="1"/>
    <col width="12" customWidth="1" style="28" min="2" max="2"/>
    <col width="8" customWidth="1" style="28" min="3" max="3"/>
    <col width="26" customWidth="1" style="28" min="4" max="4"/>
    <col width="10" customWidth="1" style="28" min="5" max="5"/>
    <col width="10" customWidth="1" style="28" min="6" max="6"/>
    <col width="26" customWidth="1" style="28" min="7" max="7"/>
    <col width="12" customWidth="1" style="28" min="8" max="8"/>
    <col width="22" customWidth="1" style="28" min="9" max="9"/>
    <col width="55" customWidth="1" style="28" min="10" max="10"/>
    <col width="28" customWidth="1" style="28" min="11" max="11"/>
    <col width="10" customWidth="1" style="28" min="12" max="12"/>
  </cols>
  <sheetData>
    <row r="1">
      <c r="A1" s="397" t="inlineStr">
        <is>
          <t>Group Fixtures and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</row>
    <row r="3">
      <c r="A3" s="264" t="inlineStr">
        <is>
          <t>Match</t>
        </is>
      </c>
      <c r="B3" s="264" t="inlineStr">
        <is>
          <t>Date</t>
        </is>
      </c>
      <c r="C3" s="264" t="inlineStr">
        <is>
          <t>Group</t>
        </is>
      </c>
      <c r="D3" s="264" t="inlineStr">
        <is>
          <t>Team 1</t>
        </is>
      </c>
      <c r="E3" s="264" t="inlineStr">
        <is>
          <t>Score 1</t>
        </is>
      </c>
      <c r="F3" s="264" t="inlineStr">
        <is>
          <t>Score 2</t>
        </is>
      </c>
      <c r="G3" s="264" t="inlineStr">
        <is>
          <t>Team 2</t>
        </is>
      </c>
      <c r="H3" s="264" t="inlineStr">
        <is>
          <t>Status</t>
        </is>
      </c>
      <c r="I3" s="264" t="inlineStr">
        <is>
          <t>Winner</t>
        </is>
      </c>
      <c r="J3" s="264" t="inlineStr">
        <is>
          <t>Source URL</t>
        </is>
      </c>
      <c r="K3" s="264" t="inlineStr">
        <is>
          <t>Venue</t>
        </is>
      </c>
      <c r="L3" s="264" t="inlineStr">
        <is>
          <t>Date Key</t>
        </is>
      </c>
    </row>
    <row r="4" ht="21" customHeight="1" s="28">
      <c r="A4" t="inlineStr">
        <is>
          <t>M001</t>
        </is>
      </c>
      <c r="B4" t="inlineStr">
        <is>
          <t>2026-06-11</t>
        </is>
      </c>
      <c r="C4" t="inlineStr">
        <is>
          <t>A</t>
        </is>
      </c>
      <c r="D4" s="399" t="inlineStr">
        <is>
          <t>Mexico</t>
        </is>
      </c>
      <c r="E4" s="270" t="n">
        <v>2</v>
      </c>
      <c r="F4" s="270" t="n">
        <v>0</v>
      </c>
      <c r="G4" s="399" t="inlineStr">
        <is>
          <t>South Africa</t>
        </is>
      </c>
      <c r="H4" s="272">
        <f>IF(AND(ISNUMBER(E4),ISNUMBER(F4)),"Final","Scheduled")</f>
        <v/>
      </c>
      <c r="I4" s="272">
        <f>IF(H4&lt;&gt;"Final","",IF(E4&gt;F4,D4,IF(F4&gt;E4,G4,"Draw")))</f>
        <v/>
      </c>
      <c r="J4" s="267" t="inlineStr">
        <is>
          <t>https://www.espn.com/soccer/story/_/id/48939282/2026-fifa-world-cup-fixtures-results-match-schedule-group-stage-knockout-rounds-bracket</t>
        </is>
      </c>
      <c r="K4" t="inlineStr">
        <is>
          <t>Mexico City Stadium</t>
        </is>
      </c>
      <c r="L4" t="inlineStr">
        <is>
          <t>20260611</t>
        </is>
      </c>
    </row>
    <row r="5" ht="21" customHeight="1" s="28">
      <c r="A5" t="inlineStr">
        <is>
          <t>M002</t>
        </is>
      </c>
      <c r="B5" t="inlineStr">
        <is>
          <t>2026-06-11</t>
        </is>
      </c>
      <c r="C5" t="inlineStr">
        <is>
          <t>A</t>
        </is>
      </c>
      <c r="D5" s="399" t="inlineStr">
        <is>
          <t>Korea Republic</t>
        </is>
      </c>
      <c r="E5" s="270" t="n">
        <v>2</v>
      </c>
      <c r="F5" s="270" t="n">
        <v>1</v>
      </c>
      <c r="G5" s="399" t="inlineStr">
        <is>
          <t>Czechia</t>
        </is>
      </c>
      <c r="H5" s="272">
        <f>IF(AND(ISNUMBER(E5),ISNUMBER(F5)),"Final","Scheduled")</f>
        <v/>
      </c>
      <c r="I5" s="272">
        <f>IF(H5&lt;&gt;"Final","",IF(E5&gt;F5,D5,IF(F5&gt;E5,G5,"Draw")))</f>
        <v/>
      </c>
      <c r="J5" s="267" t="inlineStr">
        <is>
          <t>https://www.espn.com/soccer/story/_/id/48939282/2026-fifa-world-cup-fixtures-results-match-schedule-group-stage-knockout-rounds-bracket</t>
        </is>
      </c>
      <c r="K5" t="inlineStr">
        <is>
          <t>Estadio Guadalajara</t>
        </is>
      </c>
      <c r="L5" t="inlineStr">
        <is>
          <t>20260611</t>
        </is>
      </c>
    </row>
    <row r="6" ht="21" customHeight="1" s="28">
      <c r="A6" t="inlineStr">
        <is>
          <t>M003</t>
        </is>
      </c>
      <c r="B6" t="inlineStr">
        <is>
          <t>2026-06-12</t>
        </is>
      </c>
      <c r="C6" t="inlineStr">
        <is>
          <t>B</t>
        </is>
      </c>
      <c r="D6" s="399" t="inlineStr">
        <is>
          <t>Canada</t>
        </is>
      </c>
      <c r="E6" s="270" t="n">
        <v>1</v>
      </c>
      <c r="F6" s="270" t="n">
        <v>1</v>
      </c>
      <c r="G6" s="399" t="inlineStr">
        <is>
          <t>Bosnia and Herzegovina</t>
        </is>
      </c>
      <c r="H6" s="272">
        <f>IF(AND(ISNUMBER(E6),ISNUMBER(F6)),"Final","Scheduled")</f>
        <v/>
      </c>
      <c r="I6" s="272">
        <f>IF(H6&lt;&gt;"Final","",IF(E6&gt;F6,D6,IF(F6&gt;E6,G6,"Draw")))</f>
        <v/>
      </c>
      <c r="J6" s="267" t="inlineStr">
        <is>
          <t>https://www.espn.com/soccer/story/_/id/48939282/2026-fifa-world-cup-fixtures-results-match-schedule-group-stage-knockout-rounds-bracket</t>
        </is>
      </c>
      <c r="K6" t="inlineStr">
        <is>
          <t>Toronto Stadium</t>
        </is>
      </c>
      <c r="L6" t="inlineStr">
        <is>
          <t>20260612</t>
        </is>
      </c>
    </row>
    <row r="7" ht="21" customHeight="1" s="28">
      <c r="A7" t="inlineStr">
        <is>
          <t>M004</t>
        </is>
      </c>
      <c r="B7" t="inlineStr">
        <is>
          <t>2026-06-12</t>
        </is>
      </c>
      <c r="C7" t="inlineStr">
        <is>
          <t>D</t>
        </is>
      </c>
      <c r="D7" s="399" t="inlineStr">
        <is>
          <t>USA</t>
        </is>
      </c>
      <c r="E7" s="270" t="n">
        <v>4</v>
      </c>
      <c r="F7" s="270" t="n">
        <v>1</v>
      </c>
      <c r="G7" s="399" t="inlineStr">
        <is>
          <t>Paraguay</t>
        </is>
      </c>
      <c r="H7" s="272">
        <f>IF(AND(ISNUMBER(E7),ISNUMBER(F7)),"Final","Scheduled")</f>
        <v/>
      </c>
      <c r="I7" s="272">
        <f>IF(H7&lt;&gt;"Final","",IF(E7&gt;F7,D7,IF(F7&gt;E7,G7,"Draw")))</f>
        <v/>
      </c>
      <c r="J7" s="267" t="inlineStr">
        <is>
          <t>https://www.espn.com/soccer/story/_/id/48939282/2026-fifa-world-cup-fixtures-results-match-schedule-group-stage-knockout-rounds-bracket</t>
        </is>
      </c>
      <c r="K7" t="inlineStr">
        <is>
          <t>Los Angeles Stadium</t>
        </is>
      </c>
      <c r="L7" t="inlineStr">
        <is>
          <t>20260612</t>
        </is>
      </c>
    </row>
    <row r="8" ht="21" customHeight="1" s="28">
      <c r="A8" t="inlineStr">
        <is>
          <t>M005</t>
        </is>
      </c>
      <c r="B8" t="inlineStr">
        <is>
          <t>2026-06-13</t>
        </is>
      </c>
      <c r="C8" t="inlineStr">
        <is>
          <t>B</t>
        </is>
      </c>
      <c r="D8" s="399" t="inlineStr">
        <is>
          <t>Switzerland</t>
        </is>
      </c>
      <c r="E8" s="270" t="n">
        <v>1</v>
      </c>
      <c r="F8" s="270" t="n">
        <v>1</v>
      </c>
      <c r="G8" s="399" t="inlineStr">
        <is>
          <t>Qatar</t>
        </is>
      </c>
      <c r="H8" s="272">
        <f>IF(AND(ISNUMBER(E8),ISNUMBER(F8)),"Final","Scheduled")</f>
        <v/>
      </c>
      <c r="I8" s="272">
        <f>IF(H8&lt;&gt;"Final","",IF(E8&gt;F8,D8,IF(F8&gt;E8,G8,"Draw")))</f>
        <v/>
      </c>
      <c r="J8" s="267" t="inlineStr">
        <is>
          <t>https://www.espn.com/soccer/story/_/id/48939282/2026-fifa-world-cup-fixtures-results-match-schedule-group-stage-knockout-rounds-bracket</t>
        </is>
      </c>
      <c r="K8" t="inlineStr">
        <is>
          <t>San Francisco Bay Area Stadium</t>
        </is>
      </c>
      <c r="L8" t="inlineStr">
        <is>
          <t>20260613</t>
        </is>
      </c>
    </row>
    <row r="9" ht="21" customHeight="1" s="28">
      <c r="A9" t="inlineStr">
        <is>
          <t>M006</t>
        </is>
      </c>
      <c r="B9" t="inlineStr">
        <is>
          <t>2026-06-13</t>
        </is>
      </c>
      <c r="C9" t="inlineStr">
        <is>
          <t>C</t>
        </is>
      </c>
      <c r="D9" s="399" t="inlineStr">
        <is>
          <t>Brazil</t>
        </is>
      </c>
      <c r="E9" s="270" t="n">
        <v>1</v>
      </c>
      <c r="F9" s="270" t="n">
        <v>1</v>
      </c>
      <c r="G9" s="399" t="inlineStr">
        <is>
          <t>Morocco</t>
        </is>
      </c>
      <c r="H9" s="272">
        <f>IF(AND(ISNUMBER(E9),ISNUMBER(F9)),"Final","Scheduled")</f>
        <v/>
      </c>
      <c r="I9" s="272">
        <f>IF(H9&lt;&gt;"Final","",IF(E9&gt;F9,D9,IF(F9&gt;E9,G9,"Draw")))</f>
        <v/>
      </c>
      <c r="J9" s="267" t="inlineStr">
        <is>
          <t>https://www.espn.com/soccer/story/_/id/48939282/2026-fifa-world-cup-fixtures-results-match-schedule-group-stage-knockout-rounds-bracket</t>
        </is>
      </c>
      <c r="K9" t="inlineStr">
        <is>
          <t>New York New Jersey Stadium</t>
        </is>
      </c>
      <c r="L9" t="inlineStr">
        <is>
          <t>20260613</t>
        </is>
      </c>
    </row>
    <row r="10" ht="21" customHeight="1" s="28">
      <c r="A10" t="inlineStr">
        <is>
          <t>M007</t>
        </is>
      </c>
      <c r="B10" t="inlineStr">
        <is>
          <t>2026-06-13</t>
        </is>
      </c>
      <c r="C10" t="inlineStr">
        <is>
          <t>C</t>
        </is>
      </c>
      <c r="D10" s="399" t="inlineStr">
        <is>
          <t>Scotland</t>
        </is>
      </c>
      <c r="E10" s="270" t="n">
        <v>1</v>
      </c>
      <c r="F10" s="270" t="n">
        <v>0</v>
      </c>
      <c r="G10" s="399" t="inlineStr">
        <is>
          <t>Haiti</t>
        </is>
      </c>
      <c r="H10" s="272">
        <f>IF(AND(ISNUMBER(E10),ISNUMBER(F10)),"Final","Scheduled")</f>
        <v/>
      </c>
      <c r="I10" s="272">
        <f>IF(H10&lt;&gt;"Final","",IF(E10&gt;F10,D10,IF(F10&gt;E10,G10,"Draw")))</f>
        <v/>
      </c>
      <c r="J10" s="267" t="inlineStr">
        <is>
          <t>https://www.espn.com/soccer/story/_/id/48939282/2026-fifa-world-cup-fixtures-results-match-schedule-group-stage-knockout-rounds-bracket</t>
        </is>
      </c>
      <c r="K10" t="inlineStr">
        <is>
          <t>Boston Stadium</t>
        </is>
      </c>
      <c r="L10" t="inlineStr">
        <is>
          <t>20260613</t>
        </is>
      </c>
    </row>
    <row r="11" ht="21" customHeight="1" s="28">
      <c r="A11" t="inlineStr">
        <is>
          <t>M008</t>
        </is>
      </c>
      <c r="B11" t="inlineStr">
        <is>
          <t>2026-06-13</t>
        </is>
      </c>
      <c r="C11" t="inlineStr">
        <is>
          <t>D</t>
        </is>
      </c>
      <c r="D11" s="399" t="inlineStr">
        <is>
          <t>Australia</t>
        </is>
      </c>
      <c r="E11" s="270" t="n">
        <v>2</v>
      </c>
      <c r="F11" s="270" t="n">
        <v>0</v>
      </c>
      <c r="G11" s="399" t="inlineStr">
        <is>
          <t>Türkiye</t>
        </is>
      </c>
      <c r="H11" s="272">
        <f>IF(AND(ISNUMBER(E11),ISNUMBER(F11)),"Final","Scheduled")</f>
        <v/>
      </c>
      <c r="I11" s="272">
        <f>IF(H11&lt;&gt;"Final","",IF(E11&gt;F11,D11,IF(F11&gt;E11,G11,"Draw")))</f>
        <v/>
      </c>
      <c r="J11" s="267" t="inlineStr">
        <is>
          <t>https://www.espn.com/soccer/story/_/id/48939282/2026-fifa-world-cup-fixtures-results-match-schedule-group-stage-knockout-rounds-bracket</t>
        </is>
      </c>
      <c r="K11" t="inlineStr">
        <is>
          <t>BC Place Vancouver</t>
        </is>
      </c>
      <c r="L11" t="inlineStr">
        <is>
          <t>20260613</t>
        </is>
      </c>
    </row>
    <row r="12" ht="21" customHeight="1" s="28">
      <c r="A12" t="inlineStr">
        <is>
          <t>M009</t>
        </is>
      </c>
      <c r="B12" t="inlineStr">
        <is>
          <t>2026-06-14</t>
        </is>
      </c>
      <c r="C12" t="inlineStr">
        <is>
          <t>E</t>
        </is>
      </c>
      <c r="D12" s="399" t="inlineStr">
        <is>
          <t>Germany</t>
        </is>
      </c>
      <c r="E12" s="270" t="n">
        <v>7</v>
      </c>
      <c r="F12" s="270" t="n">
        <v>1</v>
      </c>
      <c r="G12" s="399" t="inlineStr">
        <is>
          <t>Curaçao</t>
        </is>
      </c>
      <c r="H12" s="272">
        <f>IF(AND(ISNUMBER(E12),ISNUMBER(F12)),"Final","Scheduled")</f>
        <v/>
      </c>
      <c r="I12" s="272">
        <f>IF(H12&lt;&gt;"Final","",IF(E12&gt;F12,D12,IF(F12&gt;E12,G12,"Draw")))</f>
        <v/>
      </c>
      <c r="J12" s="267" t="inlineStr">
        <is>
          <t>https://www.espn.com/soccer/story/_/id/48939282/2026-fifa-world-cup-fixtures-results-match-schedule-group-stage-knockout-rounds-bracket</t>
        </is>
      </c>
      <c r="K12" t="inlineStr">
        <is>
          <t>Houston Stadium</t>
        </is>
      </c>
      <c r="L12" t="inlineStr">
        <is>
          <t>20260614</t>
        </is>
      </c>
    </row>
    <row r="13" ht="21" customHeight="1" s="28">
      <c r="A13" t="inlineStr">
        <is>
          <t>M010</t>
        </is>
      </c>
      <c r="B13" t="inlineStr">
        <is>
          <t>2026-06-14</t>
        </is>
      </c>
      <c r="C13" t="inlineStr">
        <is>
          <t>F</t>
        </is>
      </c>
      <c r="D13" s="399" t="inlineStr">
        <is>
          <t>Netherlands</t>
        </is>
      </c>
      <c r="E13" s="270" t="n">
        <v>2</v>
      </c>
      <c r="F13" s="270" t="n">
        <v>2</v>
      </c>
      <c r="G13" s="399" t="inlineStr">
        <is>
          <t>Japan</t>
        </is>
      </c>
      <c r="H13" s="272">
        <f>IF(AND(ISNUMBER(E13),ISNUMBER(F13)),"Final","Scheduled")</f>
        <v/>
      </c>
      <c r="I13" s="272">
        <f>IF(H13&lt;&gt;"Final","",IF(E13&gt;F13,D13,IF(F13&gt;E13,G13,"Draw")))</f>
        <v/>
      </c>
      <c r="J13" s="267" t="inlineStr">
        <is>
          <t>https://www.espn.com/soccer/story/_/id/48939282/2026-fifa-world-cup-fixtures-results-match-schedule-group-stage-knockout-rounds-bracket</t>
        </is>
      </c>
      <c r="K13" t="inlineStr">
        <is>
          <t>Dallas Stadium</t>
        </is>
      </c>
      <c r="L13" t="inlineStr">
        <is>
          <t>20260614</t>
        </is>
      </c>
    </row>
    <row r="14" ht="21" customHeight="1" s="28">
      <c r="A14" t="inlineStr">
        <is>
          <t>M011</t>
        </is>
      </c>
      <c r="B14" t="inlineStr">
        <is>
          <t>2026-06-14</t>
        </is>
      </c>
      <c r="C14" t="inlineStr">
        <is>
          <t>E</t>
        </is>
      </c>
      <c r="D14" s="399" t="inlineStr">
        <is>
          <t>Côte d'Ivoire</t>
        </is>
      </c>
      <c r="E14" s="270" t="n">
        <v>1</v>
      </c>
      <c r="F14" s="270" t="n">
        <v>0</v>
      </c>
      <c r="G14" s="399" t="inlineStr">
        <is>
          <t>Ecuador</t>
        </is>
      </c>
      <c r="H14" s="272">
        <f>IF(AND(ISNUMBER(E14),ISNUMBER(F14)),"Final","Scheduled")</f>
        <v/>
      </c>
      <c r="I14" s="272">
        <f>IF(H14&lt;&gt;"Final","",IF(E14&gt;F14,D14,IF(F14&gt;E14,G14,"Draw")))</f>
        <v/>
      </c>
      <c r="J14" s="267" t="inlineStr">
        <is>
          <t>https://www.espn.com/soccer/story/_/id/48939282/2026-fifa-world-cup-fixtures-results-match-schedule-group-stage-knockout-rounds-bracket</t>
        </is>
      </c>
      <c r="K14" t="inlineStr">
        <is>
          <t>Philadelphia Stadium</t>
        </is>
      </c>
      <c r="L14" t="inlineStr">
        <is>
          <t>20260614</t>
        </is>
      </c>
    </row>
    <row r="15" ht="21" customHeight="1" s="28">
      <c r="A15" t="inlineStr">
        <is>
          <t>M012</t>
        </is>
      </c>
      <c r="B15" t="inlineStr">
        <is>
          <t>2026-06-14</t>
        </is>
      </c>
      <c r="C15" t="inlineStr">
        <is>
          <t>F</t>
        </is>
      </c>
      <c r="D15" s="399" t="inlineStr">
        <is>
          <t>Sweden</t>
        </is>
      </c>
      <c r="E15" s="270" t="n">
        <v>5</v>
      </c>
      <c r="F15" s="270" t="n">
        <v>1</v>
      </c>
      <c r="G15" s="399" t="inlineStr">
        <is>
          <t>Tunisia</t>
        </is>
      </c>
      <c r="H15" s="272">
        <f>IF(AND(ISNUMBER(E15),ISNUMBER(F15)),"Final","Scheduled")</f>
        <v/>
      </c>
      <c r="I15" s="272">
        <f>IF(H15&lt;&gt;"Final","",IF(E15&gt;F15,D15,IF(F15&gt;E15,G15,"Draw")))</f>
        <v/>
      </c>
      <c r="J15" s="267" t="inlineStr">
        <is>
          <t>https://www.espn.com/soccer/story/_/id/48939282/2026-fifa-world-cup-fixtures-results-match-schedule-group-stage-knockout-rounds-bracket</t>
        </is>
      </c>
      <c r="K15" t="inlineStr">
        <is>
          <t>Estadio Monterrey</t>
        </is>
      </c>
      <c r="L15" t="inlineStr">
        <is>
          <t>20260614</t>
        </is>
      </c>
    </row>
    <row r="16" ht="21" customHeight="1" s="28">
      <c r="A16" t="inlineStr">
        <is>
          <t>M013</t>
        </is>
      </c>
      <c r="B16" t="inlineStr">
        <is>
          <t>2026-06-15</t>
        </is>
      </c>
      <c r="C16" t="inlineStr">
        <is>
          <t>H</t>
        </is>
      </c>
      <c r="D16" s="399" t="inlineStr">
        <is>
          <t>Spain</t>
        </is>
      </c>
      <c r="E16" s="270" t="n">
        <v>0</v>
      </c>
      <c r="F16" s="270" t="n">
        <v>0</v>
      </c>
      <c r="G16" s="399" t="inlineStr">
        <is>
          <t>Cabo Verde</t>
        </is>
      </c>
      <c r="H16" s="272">
        <f>IF(AND(ISNUMBER(E16),ISNUMBER(F16)),"Final","Scheduled")</f>
        <v/>
      </c>
      <c r="I16" s="272">
        <f>IF(H16&lt;&gt;"Final","",IF(E16&gt;F16,D16,IF(F16&gt;E16,G16,"Draw")))</f>
        <v/>
      </c>
      <c r="J16" s="267" t="inlineStr">
        <is>
          <t>https://www.espn.com/soccer/story/_/id/48939282/2026-fifa-world-cup-fixtures-results-match-schedule-group-stage-knockout-rounds-bracket</t>
        </is>
      </c>
      <c r="K16" t="inlineStr">
        <is>
          <t>Atlanta Stadium</t>
        </is>
      </c>
      <c r="L16" t="inlineStr">
        <is>
          <t>20260615</t>
        </is>
      </c>
    </row>
    <row r="17" ht="21" customHeight="1" s="28">
      <c r="A17" t="inlineStr">
        <is>
          <t>M014</t>
        </is>
      </c>
      <c r="B17" t="inlineStr">
        <is>
          <t>2026-06-15</t>
        </is>
      </c>
      <c r="C17" t="inlineStr">
        <is>
          <t>G</t>
        </is>
      </c>
      <c r="D17" s="399" t="inlineStr">
        <is>
          <t>Belgium</t>
        </is>
      </c>
      <c r="E17" s="270" t="n">
        <v>1</v>
      </c>
      <c r="F17" s="270" t="n">
        <v>1</v>
      </c>
      <c r="G17" s="399" t="inlineStr">
        <is>
          <t>Egypt</t>
        </is>
      </c>
      <c r="H17" s="272">
        <f>IF(AND(ISNUMBER(E17),ISNUMBER(F17)),"Final","Scheduled")</f>
        <v/>
      </c>
      <c r="I17" s="272">
        <f>IF(H17&lt;&gt;"Final","",IF(E17&gt;F17,D17,IF(F17&gt;E17,G17,"Draw")))</f>
        <v/>
      </c>
      <c r="J17" s="267" t="inlineStr">
        <is>
          <t>https://www.espn.com/soccer/story/_/id/48939282/2026-fifa-world-cup-fixtures-results-match-schedule-group-stage-knockout-rounds-bracket</t>
        </is>
      </c>
      <c r="K17" t="inlineStr">
        <is>
          <t>Seattle Stadium</t>
        </is>
      </c>
      <c r="L17" t="inlineStr">
        <is>
          <t>20260615</t>
        </is>
      </c>
    </row>
    <row r="18" ht="21" customHeight="1" s="28">
      <c r="A18" t="inlineStr">
        <is>
          <t>M015</t>
        </is>
      </c>
      <c r="B18" t="inlineStr">
        <is>
          <t>2026-06-15</t>
        </is>
      </c>
      <c r="C18" t="inlineStr">
        <is>
          <t>H</t>
        </is>
      </c>
      <c r="D18" s="399" t="inlineStr">
        <is>
          <t>Saudi Arabia</t>
        </is>
      </c>
      <c r="E18" s="270" t="n">
        <v>1</v>
      </c>
      <c r="F18" s="270" t="n">
        <v>1</v>
      </c>
      <c r="G18" s="399" t="inlineStr">
        <is>
          <t>Uruguay</t>
        </is>
      </c>
      <c r="H18" s="272">
        <f>IF(AND(ISNUMBER(E18),ISNUMBER(F18)),"Final","Scheduled")</f>
        <v/>
      </c>
      <c r="I18" s="272">
        <f>IF(H18&lt;&gt;"Final","",IF(E18&gt;F18,D18,IF(F18&gt;E18,G18,"Draw")))</f>
        <v/>
      </c>
      <c r="J18" s="267" t="inlineStr">
        <is>
          <t>https://www.espn.com/soccer/story/_/id/48939282/2026-fifa-world-cup-fixtures-results-match-schedule-group-stage-knockout-rounds-bracket</t>
        </is>
      </c>
      <c r="K18" t="inlineStr">
        <is>
          <t>Miami Stadium</t>
        </is>
      </c>
      <c r="L18" t="inlineStr">
        <is>
          <t>20260615</t>
        </is>
      </c>
    </row>
    <row r="19" ht="21" customHeight="1" s="28">
      <c r="A19" t="inlineStr">
        <is>
          <t>M016</t>
        </is>
      </c>
      <c r="B19" t="inlineStr">
        <is>
          <t>2026-06-15</t>
        </is>
      </c>
      <c r="C19" t="inlineStr">
        <is>
          <t>G</t>
        </is>
      </c>
      <c r="D19" s="399" t="inlineStr">
        <is>
          <t>IR Iran</t>
        </is>
      </c>
      <c r="E19" s="270" t="n">
        <v>2</v>
      </c>
      <c r="F19" s="270" t="n">
        <v>2</v>
      </c>
      <c r="G19" s="399" t="inlineStr">
        <is>
          <t>New Zealand</t>
        </is>
      </c>
      <c r="H19" s="272">
        <f>IF(AND(ISNUMBER(E19),ISNUMBER(F19)),"Final","Scheduled")</f>
        <v/>
      </c>
      <c r="I19" s="272">
        <f>IF(H19&lt;&gt;"Final","",IF(E19&gt;F19,D19,IF(F19&gt;E19,G19,"Draw")))</f>
        <v/>
      </c>
      <c r="J19" s="267" t="inlineStr">
        <is>
          <t>https://www.espn.com/soccer/story/_/id/48939282/2026-fifa-world-cup-fixtures-results-match-schedule-group-stage-knockout-rounds-bracket</t>
        </is>
      </c>
      <c r="K19" t="inlineStr">
        <is>
          <t>Los Angeles Stadium</t>
        </is>
      </c>
      <c r="L19" t="inlineStr">
        <is>
          <t>20260615</t>
        </is>
      </c>
    </row>
    <row r="20" ht="21" customHeight="1" s="28">
      <c r="A20" t="inlineStr">
        <is>
          <t>M017</t>
        </is>
      </c>
      <c r="B20" t="inlineStr">
        <is>
          <t>2026-06-16</t>
        </is>
      </c>
      <c r="C20" t="inlineStr">
        <is>
          <t>I</t>
        </is>
      </c>
      <c r="D20" s="399" t="inlineStr">
        <is>
          <t>France</t>
        </is>
      </c>
      <c r="E20" s="270" t="n"/>
      <c r="F20" s="270" t="n"/>
      <c r="G20" s="399" t="inlineStr">
        <is>
          <t>Senegal</t>
        </is>
      </c>
      <c r="H20" s="272">
        <f>IF(AND(ISNUMBER(E20),ISNUMBER(F20)),"Final","Scheduled")</f>
        <v/>
      </c>
      <c r="I20" s="272">
        <f>IF(H20&lt;&gt;"Final","",IF(E20&gt;F20,D20,IF(F20&gt;E20,G20,"Draw")))</f>
        <v/>
      </c>
      <c r="J20" s="267" t="inlineStr">
        <is>
          <t>https://www.espn.com/soccer/story/_/id/48939282/2026-fifa-world-cup-fixtures-results-match-schedule-group-stage-knockout-rounds-bracket</t>
        </is>
      </c>
      <c r="K20" t="inlineStr">
        <is>
          <t>New York New Jersey Stadium</t>
        </is>
      </c>
      <c r="L20" t="inlineStr">
        <is>
          <t>20260616</t>
        </is>
      </c>
    </row>
    <row r="21" ht="21" customHeight="1" s="28">
      <c r="A21" t="inlineStr">
        <is>
          <t>M018</t>
        </is>
      </c>
      <c r="B21" t="inlineStr">
        <is>
          <t>2026-06-16</t>
        </is>
      </c>
      <c r="C21" t="inlineStr">
        <is>
          <t>I</t>
        </is>
      </c>
      <c r="D21" s="399" t="inlineStr">
        <is>
          <t>Iraq</t>
        </is>
      </c>
      <c r="E21" s="270" t="n"/>
      <c r="F21" s="270" t="n"/>
      <c r="G21" s="399" t="inlineStr">
        <is>
          <t>Norway</t>
        </is>
      </c>
      <c r="H21" s="272">
        <f>IF(AND(ISNUMBER(E21),ISNUMBER(F21)),"Final","Scheduled")</f>
        <v/>
      </c>
      <c r="I21" s="272">
        <f>IF(H21&lt;&gt;"Final","",IF(E21&gt;F21,D21,IF(F21&gt;E21,G21,"Draw")))</f>
        <v/>
      </c>
      <c r="J21" s="267" t="inlineStr">
        <is>
          <t>https://www.espn.com/soccer/story/_/id/48939282/2026-fifa-world-cup-fixtures-results-match-schedule-group-stage-knockout-rounds-bracket</t>
        </is>
      </c>
      <c r="K21" t="inlineStr">
        <is>
          <t>Boston Stadium</t>
        </is>
      </c>
      <c r="L21" t="inlineStr">
        <is>
          <t>20260616</t>
        </is>
      </c>
    </row>
    <row r="22" ht="21" customHeight="1" s="28">
      <c r="A22" t="inlineStr">
        <is>
          <t>M019</t>
        </is>
      </c>
      <c r="B22" t="inlineStr">
        <is>
          <t>2026-06-16</t>
        </is>
      </c>
      <c r="C22" t="inlineStr">
        <is>
          <t>J</t>
        </is>
      </c>
      <c r="D22" s="399" t="inlineStr">
        <is>
          <t>Argentina</t>
        </is>
      </c>
      <c r="E22" s="270" t="n"/>
      <c r="F22" s="270" t="n"/>
      <c r="G22" s="399" t="inlineStr">
        <is>
          <t>Algeria</t>
        </is>
      </c>
      <c r="H22" s="272">
        <f>IF(AND(ISNUMBER(E22),ISNUMBER(F22)),"Final","Scheduled")</f>
        <v/>
      </c>
      <c r="I22" s="272">
        <f>IF(H22&lt;&gt;"Final","",IF(E22&gt;F22,D22,IF(F22&gt;E22,G22,"Draw")))</f>
        <v/>
      </c>
      <c r="J22" s="267" t="inlineStr">
        <is>
          <t>https://www.espn.com/soccer/story/_/id/48939282/2026-fifa-world-cup-fixtures-results-match-schedule-group-stage-knockout-rounds-bracket</t>
        </is>
      </c>
      <c r="K22" t="inlineStr">
        <is>
          <t>Kansas City Stadium</t>
        </is>
      </c>
      <c r="L22" t="inlineStr">
        <is>
          <t>20260616</t>
        </is>
      </c>
    </row>
    <row r="23" ht="21" customHeight="1" s="28">
      <c r="A23" t="inlineStr">
        <is>
          <t>M020</t>
        </is>
      </c>
      <c r="B23" t="inlineStr">
        <is>
          <t>2026-06-16</t>
        </is>
      </c>
      <c r="C23" t="inlineStr">
        <is>
          <t>J</t>
        </is>
      </c>
      <c r="D23" s="399" t="inlineStr">
        <is>
          <t>Austria</t>
        </is>
      </c>
      <c r="E23" s="270" t="n"/>
      <c r="F23" s="270" t="n"/>
      <c r="G23" s="399" t="inlineStr">
        <is>
          <t>Jordan</t>
        </is>
      </c>
      <c r="H23" s="272">
        <f>IF(AND(ISNUMBER(E23),ISNUMBER(F23)),"Final","Scheduled")</f>
        <v/>
      </c>
      <c r="I23" s="272">
        <f>IF(H23&lt;&gt;"Final","",IF(E23&gt;F23,D23,IF(F23&gt;E23,G23,"Draw")))</f>
        <v/>
      </c>
      <c r="J23" s="267" t="inlineStr">
        <is>
          <t>https://www.espn.com/soccer/story/_/id/48939282/2026-fifa-world-cup-fixtures-results-match-schedule-group-stage-knockout-rounds-bracket</t>
        </is>
      </c>
      <c r="K23" t="inlineStr">
        <is>
          <t>San Francisco Bay Area Stadium</t>
        </is>
      </c>
      <c r="L23" t="inlineStr">
        <is>
          <t>20260616</t>
        </is>
      </c>
    </row>
    <row r="24" ht="21" customHeight="1" s="28">
      <c r="A24" t="inlineStr">
        <is>
          <t>M021</t>
        </is>
      </c>
      <c r="B24" t="inlineStr">
        <is>
          <t>2026-06-17</t>
        </is>
      </c>
      <c r="C24" t="inlineStr">
        <is>
          <t>K</t>
        </is>
      </c>
      <c r="D24" s="399" t="inlineStr">
        <is>
          <t>Portugal</t>
        </is>
      </c>
      <c r="E24" s="270" t="n"/>
      <c r="F24" s="270" t="n"/>
      <c r="G24" s="399" t="inlineStr">
        <is>
          <t>Congo DR</t>
        </is>
      </c>
      <c r="H24" s="272">
        <f>IF(AND(ISNUMBER(E24),ISNUMBER(F24)),"Final","Scheduled")</f>
        <v/>
      </c>
      <c r="I24" s="272">
        <f>IF(H24&lt;&gt;"Final","",IF(E24&gt;F24,D24,IF(F24&gt;E24,G24,"Draw")))</f>
        <v/>
      </c>
      <c r="J24" s="267" t="inlineStr">
        <is>
          <t>https://www.espn.com/soccer/story/_/id/48939282/2026-fifa-world-cup-fixtures-results-match-schedule-group-stage-knockout-rounds-bracket</t>
        </is>
      </c>
      <c r="K24" t="inlineStr">
        <is>
          <t>Houston Stadium</t>
        </is>
      </c>
      <c r="L24" t="inlineStr">
        <is>
          <t>20260617</t>
        </is>
      </c>
    </row>
    <row r="25" ht="21" customHeight="1" s="28">
      <c r="A25" t="inlineStr">
        <is>
          <t>M022</t>
        </is>
      </c>
      <c r="B25" t="inlineStr">
        <is>
          <t>2026-06-17</t>
        </is>
      </c>
      <c r="C25" t="inlineStr">
        <is>
          <t>L</t>
        </is>
      </c>
      <c r="D25" s="399" t="inlineStr">
        <is>
          <t>England</t>
        </is>
      </c>
      <c r="E25" s="270" t="n"/>
      <c r="F25" s="270" t="n"/>
      <c r="G25" s="399" t="inlineStr">
        <is>
          <t>Croatia</t>
        </is>
      </c>
      <c r="H25" s="272">
        <f>IF(AND(ISNUMBER(E25),ISNUMBER(F25)),"Final","Scheduled")</f>
        <v/>
      </c>
      <c r="I25" s="272">
        <f>IF(H25&lt;&gt;"Final","",IF(E25&gt;F25,D25,IF(F25&gt;E25,G25,"Draw")))</f>
        <v/>
      </c>
      <c r="J25" s="267" t="inlineStr">
        <is>
          <t>https://www.espn.com/soccer/story/_/id/48939282/2026-fifa-world-cup-fixtures-results-match-schedule-group-stage-knockout-rounds-bracket</t>
        </is>
      </c>
      <c r="K25" t="inlineStr">
        <is>
          <t>Dallas Stadium</t>
        </is>
      </c>
      <c r="L25" t="inlineStr">
        <is>
          <t>20260617</t>
        </is>
      </c>
    </row>
    <row r="26" ht="21" customHeight="1" s="28">
      <c r="A26" t="inlineStr">
        <is>
          <t>M023</t>
        </is>
      </c>
      <c r="B26" t="inlineStr">
        <is>
          <t>2026-06-17</t>
        </is>
      </c>
      <c r="C26" t="inlineStr">
        <is>
          <t>L</t>
        </is>
      </c>
      <c r="D26" s="399" t="inlineStr">
        <is>
          <t>Ghana</t>
        </is>
      </c>
      <c r="E26" s="270" t="n"/>
      <c r="F26" s="270" t="n"/>
      <c r="G26" s="399" t="inlineStr">
        <is>
          <t>Panama</t>
        </is>
      </c>
      <c r="H26" s="272">
        <f>IF(AND(ISNUMBER(E26),ISNUMBER(F26)),"Final","Scheduled")</f>
        <v/>
      </c>
      <c r="I26" s="272">
        <f>IF(H26&lt;&gt;"Final","",IF(E26&gt;F26,D26,IF(F26&gt;E26,G26,"Draw")))</f>
        <v/>
      </c>
      <c r="J26" s="267" t="inlineStr">
        <is>
          <t>https://www.espn.com/soccer/story/_/id/48939282/2026-fifa-world-cup-fixtures-results-match-schedule-group-stage-knockout-rounds-bracket</t>
        </is>
      </c>
      <c r="K26" t="inlineStr">
        <is>
          <t>Toronto Stadium</t>
        </is>
      </c>
      <c r="L26" t="inlineStr">
        <is>
          <t>20260617</t>
        </is>
      </c>
    </row>
    <row r="27" ht="21" customHeight="1" s="28">
      <c r="A27" t="inlineStr">
        <is>
          <t>M024</t>
        </is>
      </c>
      <c r="B27" t="inlineStr">
        <is>
          <t>2026-06-17</t>
        </is>
      </c>
      <c r="C27" t="inlineStr">
        <is>
          <t>K</t>
        </is>
      </c>
      <c r="D27" s="399" t="inlineStr">
        <is>
          <t>Uzbekistan</t>
        </is>
      </c>
      <c r="E27" s="270" t="n"/>
      <c r="F27" s="270" t="n"/>
      <c r="G27" s="399" t="inlineStr">
        <is>
          <t>Colombia</t>
        </is>
      </c>
      <c r="H27" s="272">
        <f>IF(AND(ISNUMBER(E27),ISNUMBER(F27)),"Final","Scheduled")</f>
        <v/>
      </c>
      <c r="I27" s="272">
        <f>IF(H27&lt;&gt;"Final","",IF(E27&gt;F27,D27,IF(F27&gt;E27,G27,"Draw")))</f>
        <v/>
      </c>
      <c r="J27" s="267" t="inlineStr">
        <is>
          <t>https://www.espn.com/soccer/story/_/id/48939282/2026-fifa-world-cup-fixtures-results-match-schedule-group-stage-knockout-rounds-bracket</t>
        </is>
      </c>
      <c r="K27" t="inlineStr">
        <is>
          <t>Mexico City Stadium</t>
        </is>
      </c>
      <c r="L27" t="inlineStr">
        <is>
          <t>20260617</t>
        </is>
      </c>
    </row>
    <row r="28" ht="21" customHeight="1" s="28">
      <c r="A28" t="inlineStr">
        <is>
          <t>M025</t>
        </is>
      </c>
      <c r="B28" t="inlineStr">
        <is>
          <t>2026-06-18</t>
        </is>
      </c>
      <c r="C28" t="inlineStr">
        <is>
          <t>A</t>
        </is>
      </c>
      <c r="D28" s="399" t="inlineStr">
        <is>
          <t>Czechia</t>
        </is>
      </c>
      <c r="E28" s="270" t="n"/>
      <c r="F28" s="270" t="n"/>
      <c r="G28" s="399" t="inlineStr">
        <is>
          <t>South Africa</t>
        </is>
      </c>
      <c r="H28" s="272">
        <f>IF(AND(ISNUMBER(E28),ISNUMBER(F28)),"Final","Scheduled")</f>
        <v/>
      </c>
      <c r="I28" s="272">
        <f>IF(H28&lt;&gt;"Final","",IF(E28&gt;F28,D28,IF(F28&gt;E28,G28,"Draw")))</f>
        <v/>
      </c>
      <c r="J28" s="267" t="inlineStr">
        <is>
          <t>https://www.espn.com/soccer/story/_/id/48939282/2026-fifa-world-cup-fixtures-results-match-schedule-group-stage-knockout-rounds-bracket</t>
        </is>
      </c>
      <c r="K28" t="inlineStr">
        <is>
          <t>Atlanta Stadium</t>
        </is>
      </c>
      <c r="L28" t="inlineStr">
        <is>
          <t>20260618</t>
        </is>
      </c>
    </row>
    <row r="29" ht="21" customHeight="1" s="28">
      <c r="A29" t="inlineStr">
        <is>
          <t>M026</t>
        </is>
      </c>
      <c r="B29" t="inlineStr">
        <is>
          <t>2026-06-18</t>
        </is>
      </c>
      <c r="C29" t="inlineStr">
        <is>
          <t>B</t>
        </is>
      </c>
      <c r="D29" s="399" t="inlineStr">
        <is>
          <t>Switzerland</t>
        </is>
      </c>
      <c r="E29" s="270" t="n"/>
      <c r="F29" s="270" t="n"/>
      <c r="G29" s="399" t="inlineStr">
        <is>
          <t>Bosnia and Herzegovina</t>
        </is>
      </c>
      <c r="H29" s="272">
        <f>IF(AND(ISNUMBER(E29),ISNUMBER(F29)),"Final","Scheduled")</f>
        <v/>
      </c>
      <c r="I29" s="272">
        <f>IF(H29&lt;&gt;"Final","",IF(E29&gt;F29,D29,IF(F29&gt;E29,G29,"Draw")))</f>
        <v/>
      </c>
      <c r="J29" s="267" t="inlineStr">
        <is>
          <t>https://www.espn.com/soccer/story/_/id/48939282/2026-fifa-world-cup-fixtures-results-match-schedule-group-stage-knockout-rounds-bracket</t>
        </is>
      </c>
      <c r="K29" t="inlineStr">
        <is>
          <t>Los Angeles Stadium</t>
        </is>
      </c>
      <c r="L29" t="inlineStr">
        <is>
          <t>20260618</t>
        </is>
      </c>
    </row>
    <row r="30" ht="21" customHeight="1" s="28">
      <c r="A30" t="inlineStr">
        <is>
          <t>M027</t>
        </is>
      </c>
      <c r="B30" t="inlineStr">
        <is>
          <t>2026-06-18</t>
        </is>
      </c>
      <c r="C30" t="inlineStr">
        <is>
          <t>B</t>
        </is>
      </c>
      <c r="D30" s="399" t="inlineStr">
        <is>
          <t>Canada</t>
        </is>
      </c>
      <c r="E30" s="270" t="n"/>
      <c r="F30" s="270" t="n"/>
      <c r="G30" s="399" t="inlineStr">
        <is>
          <t>Qatar</t>
        </is>
      </c>
      <c r="H30" s="272">
        <f>IF(AND(ISNUMBER(E30),ISNUMBER(F30)),"Final","Scheduled")</f>
        <v/>
      </c>
      <c r="I30" s="272">
        <f>IF(H30&lt;&gt;"Final","",IF(E30&gt;F30,D30,IF(F30&gt;E30,G30,"Draw")))</f>
        <v/>
      </c>
      <c r="J30" s="267" t="inlineStr">
        <is>
          <t>https://www.espn.com/soccer/story/_/id/48939282/2026-fifa-world-cup-fixtures-results-match-schedule-group-stage-knockout-rounds-bracket</t>
        </is>
      </c>
      <c r="K30" t="inlineStr">
        <is>
          <t>BC Place Vancouver</t>
        </is>
      </c>
      <c r="L30" t="inlineStr">
        <is>
          <t>20260618</t>
        </is>
      </c>
    </row>
    <row r="31" ht="21" customHeight="1" s="28">
      <c r="A31" t="inlineStr">
        <is>
          <t>M028</t>
        </is>
      </c>
      <c r="B31" t="inlineStr">
        <is>
          <t>2026-06-18</t>
        </is>
      </c>
      <c r="C31" t="inlineStr">
        <is>
          <t>A</t>
        </is>
      </c>
      <c r="D31" s="399" t="inlineStr">
        <is>
          <t>Mexico</t>
        </is>
      </c>
      <c r="E31" s="270" t="n"/>
      <c r="F31" s="270" t="n"/>
      <c r="G31" s="399" t="inlineStr">
        <is>
          <t>Korea Republic</t>
        </is>
      </c>
      <c r="H31" s="272">
        <f>IF(AND(ISNUMBER(E31),ISNUMBER(F31)),"Final","Scheduled")</f>
        <v/>
      </c>
      <c r="I31" s="272">
        <f>IF(H31&lt;&gt;"Final","",IF(E31&gt;F31,D31,IF(F31&gt;E31,G31,"Draw")))</f>
        <v/>
      </c>
      <c r="J31" s="267" t="inlineStr">
        <is>
          <t>https://www.espn.com/soccer/story/_/id/48939282/2026-fifa-world-cup-fixtures-results-match-schedule-group-stage-knockout-rounds-bracket</t>
        </is>
      </c>
      <c r="K31" t="inlineStr">
        <is>
          <t>Estadio Guadalajara</t>
        </is>
      </c>
      <c r="L31" t="inlineStr">
        <is>
          <t>20260618</t>
        </is>
      </c>
    </row>
    <row r="32" ht="21" customHeight="1" s="28">
      <c r="A32" t="inlineStr">
        <is>
          <t>M029</t>
        </is>
      </c>
      <c r="B32" t="inlineStr">
        <is>
          <t>2026-06-19</t>
        </is>
      </c>
      <c r="C32" t="inlineStr">
        <is>
          <t>D</t>
        </is>
      </c>
      <c r="D32" s="399" t="inlineStr">
        <is>
          <t>USA</t>
        </is>
      </c>
      <c r="E32" s="270" t="n"/>
      <c r="F32" s="270" t="n"/>
      <c r="G32" s="399" t="inlineStr">
        <is>
          <t>Australia</t>
        </is>
      </c>
      <c r="H32" s="272">
        <f>IF(AND(ISNUMBER(E32),ISNUMBER(F32)),"Final","Scheduled")</f>
        <v/>
      </c>
      <c r="I32" s="272">
        <f>IF(H32&lt;&gt;"Final","",IF(E32&gt;F32,D32,IF(F32&gt;E32,G32,"Draw")))</f>
        <v/>
      </c>
      <c r="J32" s="267" t="inlineStr">
        <is>
          <t>https://www.espn.com/soccer/story/_/id/48939282/2026-fifa-world-cup-fixtures-results-match-schedule-group-stage-knockout-rounds-bracket</t>
        </is>
      </c>
      <c r="K32" t="inlineStr">
        <is>
          <t>Seattle Stadium</t>
        </is>
      </c>
      <c r="L32" t="inlineStr">
        <is>
          <t>20260619</t>
        </is>
      </c>
    </row>
    <row r="33" ht="21" customHeight="1" s="28">
      <c r="A33" t="inlineStr">
        <is>
          <t>M030</t>
        </is>
      </c>
      <c r="B33" t="inlineStr">
        <is>
          <t>2026-06-19</t>
        </is>
      </c>
      <c r="C33" t="inlineStr">
        <is>
          <t>C</t>
        </is>
      </c>
      <c r="D33" s="399" t="inlineStr">
        <is>
          <t>Scotland</t>
        </is>
      </c>
      <c r="E33" s="270" t="n"/>
      <c r="F33" s="270" t="n"/>
      <c r="G33" s="399" t="inlineStr">
        <is>
          <t>Morocco</t>
        </is>
      </c>
      <c r="H33" s="272">
        <f>IF(AND(ISNUMBER(E33),ISNUMBER(F33)),"Final","Scheduled")</f>
        <v/>
      </c>
      <c r="I33" s="272">
        <f>IF(H33&lt;&gt;"Final","",IF(E33&gt;F33,D33,IF(F33&gt;E33,G33,"Draw")))</f>
        <v/>
      </c>
      <c r="J33" s="267" t="inlineStr">
        <is>
          <t>https://www.espn.com/soccer/story/_/id/48939282/2026-fifa-world-cup-fixtures-results-match-schedule-group-stage-knockout-rounds-bracket</t>
        </is>
      </c>
      <c r="K33" t="inlineStr">
        <is>
          <t>Boston Stadium</t>
        </is>
      </c>
      <c r="L33" t="inlineStr">
        <is>
          <t>20260619</t>
        </is>
      </c>
    </row>
    <row r="34" ht="21" customHeight="1" s="28">
      <c r="A34" t="inlineStr">
        <is>
          <t>M031</t>
        </is>
      </c>
      <c r="B34" t="inlineStr">
        <is>
          <t>2026-06-19</t>
        </is>
      </c>
      <c r="C34" t="inlineStr">
        <is>
          <t>C</t>
        </is>
      </c>
      <c r="D34" s="399" t="inlineStr">
        <is>
          <t>Brazil</t>
        </is>
      </c>
      <c r="E34" s="270" t="n"/>
      <c r="F34" s="270" t="n"/>
      <c r="G34" s="399" t="inlineStr">
        <is>
          <t>Haiti</t>
        </is>
      </c>
      <c r="H34" s="272">
        <f>IF(AND(ISNUMBER(E34),ISNUMBER(F34)),"Final","Scheduled")</f>
        <v/>
      </c>
      <c r="I34" s="272">
        <f>IF(H34&lt;&gt;"Final","",IF(E34&gt;F34,D34,IF(F34&gt;E34,G34,"Draw")))</f>
        <v/>
      </c>
      <c r="J34" s="267" t="inlineStr">
        <is>
          <t>https://www.espn.com/soccer/story/_/id/48939282/2026-fifa-world-cup-fixtures-results-match-schedule-group-stage-knockout-rounds-bracket</t>
        </is>
      </c>
      <c r="K34" t="inlineStr">
        <is>
          <t>Philadelphia Stadium</t>
        </is>
      </c>
      <c r="L34" t="inlineStr">
        <is>
          <t>20260619</t>
        </is>
      </c>
    </row>
    <row r="35" ht="21" customHeight="1" s="28">
      <c r="A35" t="inlineStr">
        <is>
          <t>M032</t>
        </is>
      </c>
      <c r="B35" t="inlineStr">
        <is>
          <t>2026-06-19</t>
        </is>
      </c>
      <c r="C35" t="inlineStr">
        <is>
          <t>D</t>
        </is>
      </c>
      <c r="D35" s="399" t="inlineStr">
        <is>
          <t>Türkiye</t>
        </is>
      </c>
      <c r="E35" s="270" t="n"/>
      <c r="F35" s="270" t="n"/>
      <c r="G35" s="399" t="inlineStr">
        <is>
          <t>Paraguay</t>
        </is>
      </c>
      <c r="H35" s="272">
        <f>IF(AND(ISNUMBER(E35),ISNUMBER(F35)),"Final","Scheduled")</f>
        <v/>
      </c>
      <c r="I35" s="272">
        <f>IF(H35&lt;&gt;"Final","",IF(E35&gt;F35,D35,IF(F35&gt;E35,G35,"Draw")))</f>
        <v/>
      </c>
      <c r="J35" s="267" t="inlineStr">
        <is>
          <t>https://www.espn.com/soccer/story/_/id/48939282/2026-fifa-world-cup-fixtures-results-match-schedule-group-stage-knockout-rounds-bracket</t>
        </is>
      </c>
      <c r="K35" t="inlineStr">
        <is>
          <t>San Francisco Bay Area Stadium</t>
        </is>
      </c>
      <c r="L35" t="inlineStr">
        <is>
          <t>20260619</t>
        </is>
      </c>
    </row>
    <row r="36" ht="21" customHeight="1" s="28">
      <c r="A36" t="inlineStr">
        <is>
          <t>M033</t>
        </is>
      </c>
      <c r="B36" t="inlineStr">
        <is>
          <t>2026-06-20</t>
        </is>
      </c>
      <c r="C36" t="inlineStr">
        <is>
          <t>F</t>
        </is>
      </c>
      <c r="D36" s="399" t="inlineStr">
        <is>
          <t>Netherlands</t>
        </is>
      </c>
      <c r="E36" s="270" t="n"/>
      <c r="F36" s="270" t="n"/>
      <c r="G36" s="399" t="inlineStr">
        <is>
          <t>Sweden</t>
        </is>
      </c>
      <c r="H36" s="272">
        <f>IF(AND(ISNUMBER(E36),ISNUMBER(F36)),"Final","Scheduled")</f>
        <v/>
      </c>
      <c r="I36" s="272">
        <f>IF(H36&lt;&gt;"Final","",IF(E36&gt;F36,D36,IF(F36&gt;E36,G36,"Draw")))</f>
        <v/>
      </c>
      <c r="J36" s="267" t="inlineStr">
        <is>
          <t>https://www.espn.com/soccer/story/_/id/48939282/2026-fifa-world-cup-fixtures-results-match-schedule-group-stage-knockout-rounds-bracket</t>
        </is>
      </c>
      <c r="K36" t="inlineStr">
        <is>
          <t>Houston Stadium</t>
        </is>
      </c>
      <c r="L36" t="inlineStr">
        <is>
          <t>20260620</t>
        </is>
      </c>
    </row>
    <row r="37" ht="21" customHeight="1" s="28">
      <c r="A37" t="inlineStr">
        <is>
          <t>M034</t>
        </is>
      </c>
      <c r="B37" t="inlineStr">
        <is>
          <t>2026-06-20</t>
        </is>
      </c>
      <c r="C37" t="inlineStr">
        <is>
          <t>E</t>
        </is>
      </c>
      <c r="D37" s="399" t="inlineStr">
        <is>
          <t>Germany</t>
        </is>
      </c>
      <c r="E37" s="270" t="n"/>
      <c r="F37" s="270" t="n"/>
      <c r="G37" s="399" t="inlineStr">
        <is>
          <t>Côte d'Ivoire</t>
        </is>
      </c>
      <c r="H37" s="272">
        <f>IF(AND(ISNUMBER(E37),ISNUMBER(F37)),"Final","Scheduled")</f>
        <v/>
      </c>
      <c r="I37" s="272">
        <f>IF(H37&lt;&gt;"Final","",IF(E37&gt;F37,D37,IF(F37&gt;E37,G37,"Draw")))</f>
        <v/>
      </c>
      <c r="J37" s="267" t="inlineStr">
        <is>
          <t>https://www.espn.com/soccer/story/_/id/48939282/2026-fifa-world-cup-fixtures-results-match-schedule-group-stage-knockout-rounds-bracket</t>
        </is>
      </c>
      <c r="K37" t="inlineStr">
        <is>
          <t>Toronto Stadium</t>
        </is>
      </c>
      <c r="L37" t="inlineStr">
        <is>
          <t>20260620</t>
        </is>
      </c>
    </row>
    <row r="38" ht="21" customHeight="1" s="28">
      <c r="A38" t="inlineStr">
        <is>
          <t>M035</t>
        </is>
      </c>
      <c r="B38" t="inlineStr">
        <is>
          <t>2026-06-20</t>
        </is>
      </c>
      <c r="C38" t="inlineStr">
        <is>
          <t>E</t>
        </is>
      </c>
      <c r="D38" s="399" t="inlineStr">
        <is>
          <t>Ecuador</t>
        </is>
      </c>
      <c r="E38" s="270" t="n"/>
      <c r="F38" s="270" t="n"/>
      <c r="G38" s="399" t="inlineStr">
        <is>
          <t>Curaçao</t>
        </is>
      </c>
      <c r="H38" s="272">
        <f>IF(AND(ISNUMBER(E38),ISNUMBER(F38)),"Final","Scheduled")</f>
        <v/>
      </c>
      <c r="I38" s="272">
        <f>IF(H38&lt;&gt;"Final","",IF(E38&gt;F38,D38,IF(F38&gt;E38,G38,"Draw")))</f>
        <v/>
      </c>
      <c r="J38" s="267" t="inlineStr">
        <is>
          <t>https://www.espn.com/soccer/story/_/id/48939282/2026-fifa-world-cup-fixtures-results-match-schedule-group-stage-knockout-rounds-bracket</t>
        </is>
      </c>
      <c r="K38" t="inlineStr">
        <is>
          <t>Kansas City Stadium</t>
        </is>
      </c>
      <c r="L38" t="inlineStr">
        <is>
          <t>20260620</t>
        </is>
      </c>
    </row>
    <row r="39" ht="21" customHeight="1" s="28">
      <c r="A39" t="inlineStr">
        <is>
          <t>M036</t>
        </is>
      </c>
      <c r="B39" t="inlineStr">
        <is>
          <t>2026-06-20</t>
        </is>
      </c>
      <c r="C39" t="inlineStr">
        <is>
          <t>F</t>
        </is>
      </c>
      <c r="D39" s="399" t="inlineStr">
        <is>
          <t>Tunisia</t>
        </is>
      </c>
      <c r="E39" s="270" t="n"/>
      <c r="F39" s="270" t="n"/>
      <c r="G39" s="399" t="inlineStr">
        <is>
          <t>Japan</t>
        </is>
      </c>
      <c r="H39" s="272">
        <f>IF(AND(ISNUMBER(E39),ISNUMBER(F39)),"Final","Scheduled")</f>
        <v/>
      </c>
      <c r="I39" s="272">
        <f>IF(H39&lt;&gt;"Final","",IF(E39&gt;F39,D39,IF(F39&gt;E39,G39,"Draw")))</f>
        <v/>
      </c>
      <c r="J39" s="267" t="inlineStr">
        <is>
          <t>https://www.espn.com/soccer/story/_/id/48939282/2026-fifa-world-cup-fixtures-results-match-schedule-group-stage-knockout-rounds-bracket</t>
        </is>
      </c>
      <c r="K39" t="inlineStr">
        <is>
          <t>Estadio Monterrey</t>
        </is>
      </c>
      <c r="L39" t="inlineStr">
        <is>
          <t>20260620</t>
        </is>
      </c>
    </row>
    <row r="40" ht="21" customHeight="1" s="28">
      <c r="A40" t="inlineStr">
        <is>
          <t>M037</t>
        </is>
      </c>
      <c r="B40" t="inlineStr">
        <is>
          <t>2026-06-21</t>
        </is>
      </c>
      <c r="C40" t="inlineStr">
        <is>
          <t>H</t>
        </is>
      </c>
      <c r="D40" s="399" t="inlineStr">
        <is>
          <t>Spain</t>
        </is>
      </c>
      <c r="E40" s="270" t="n"/>
      <c r="F40" s="270" t="n"/>
      <c r="G40" s="399" t="inlineStr">
        <is>
          <t>Saudi Arabia</t>
        </is>
      </c>
      <c r="H40" s="272">
        <f>IF(AND(ISNUMBER(E40),ISNUMBER(F40)),"Final","Scheduled")</f>
        <v/>
      </c>
      <c r="I40" s="272">
        <f>IF(H40&lt;&gt;"Final","",IF(E40&gt;F40,D40,IF(F40&gt;E40,G40,"Draw")))</f>
        <v/>
      </c>
      <c r="J40" s="267" t="inlineStr">
        <is>
          <t>https://www.espn.com/soccer/story/_/id/48939282/2026-fifa-world-cup-fixtures-results-match-schedule-group-stage-knockout-rounds-bracket</t>
        </is>
      </c>
      <c r="K40" t="inlineStr">
        <is>
          <t>Atlanta Stadium</t>
        </is>
      </c>
      <c r="L40" t="inlineStr">
        <is>
          <t>20260621</t>
        </is>
      </c>
    </row>
    <row r="41" ht="21" customHeight="1" s="28">
      <c r="A41" t="inlineStr">
        <is>
          <t>M038</t>
        </is>
      </c>
      <c r="B41" t="inlineStr">
        <is>
          <t>2026-06-21</t>
        </is>
      </c>
      <c r="C41" t="inlineStr">
        <is>
          <t>G</t>
        </is>
      </c>
      <c r="D41" s="399" t="inlineStr">
        <is>
          <t>Belgium</t>
        </is>
      </c>
      <c r="E41" s="270" t="n"/>
      <c r="F41" s="270" t="n"/>
      <c r="G41" s="399" t="inlineStr">
        <is>
          <t>IR Iran</t>
        </is>
      </c>
      <c r="H41" s="272">
        <f>IF(AND(ISNUMBER(E41),ISNUMBER(F41)),"Final","Scheduled")</f>
        <v/>
      </c>
      <c r="I41" s="272">
        <f>IF(H41&lt;&gt;"Final","",IF(E41&gt;F41,D41,IF(F41&gt;E41,G41,"Draw")))</f>
        <v/>
      </c>
      <c r="J41" s="267" t="inlineStr">
        <is>
          <t>https://www.espn.com/soccer/story/_/id/48939282/2026-fifa-world-cup-fixtures-results-match-schedule-group-stage-knockout-rounds-bracket</t>
        </is>
      </c>
      <c r="K41" t="inlineStr">
        <is>
          <t>Los Angeles Stadium</t>
        </is>
      </c>
      <c r="L41" t="inlineStr">
        <is>
          <t>20260621</t>
        </is>
      </c>
    </row>
    <row r="42" ht="21" customHeight="1" s="28">
      <c r="A42" t="inlineStr">
        <is>
          <t>M039</t>
        </is>
      </c>
      <c r="B42" t="inlineStr">
        <is>
          <t>2026-06-21</t>
        </is>
      </c>
      <c r="C42" t="inlineStr">
        <is>
          <t>H</t>
        </is>
      </c>
      <c r="D42" s="399" t="inlineStr">
        <is>
          <t>Uruguay</t>
        </is>
      </c>
      <c r="E42" s="270" t="n"/>
      <c r="F42" s="270" t="n"/>
      <c r="G42" s="399" t="inlineStr">
        <is>
          <t>Cabo Verde</t>
        </is>
      </c>
      <c r="H42" s="272">
        <f>IF(AND(ISNUMBER(E42),ISNUMBER(F42)),"Final","Scheduled")</f>
        <v/>
      </c>
      <c r="I42" s="272">
        <f>IF(H42&lt;&gt;"Final","",IF(E42&gt;F42,D42,IF(F42&gt;E42,G42,"Draw")))</f>
        <v/>
      </c>
      <c r="J42" s="267" t="inlineStr">
        <is>
          <t>https://www.espn.com/soccer/story/_/id/48939282/2026-fifa-world-cup-fixtures-results-match-schedule-group-stage-knockout-rounds-bracket</t>
        </is>
      </c>
      <c r="K42" t="inlineStr">
        <is>
          <t>Miami Stadium</t>
        </is>
      </c>
      <c r="L42" t="inlineStr">
        <is>
          <t>20260621</t>
        </is>
      </c>
    </row>
    <row r="43" ht="21" customHeight="1" s="28">
      <c r="A43" t="inlineStr">
        <is>
          <t>M040</t>
        </is>
      </c>
      <c r="B43" t="inlineStr">
        <is>
          <t>2026-06-21</t>
        </is>
      </c>
      <c r="C43" t="inlineStr">
        <is>
          <t>G</t>
        </is>
      </c>
      <c r="D43" s="399" t="inlineStr">
        <is>
          <t>New Zealand</t>
        </is>
      </c>
      <c r="E43" s="270" t="n"/>
      <c r="F43" s="270" t="n"/>
      <c r="G43" s="399" t="inlineStr">
        <is>
          <t>Egypt</t>
        </is>
      </c>
      <c r="H43" s="272">
        <f>IF(AND(ISNUMBER(E43),ISNUMBER(F43)),"Final","Scheduled")</f>
        <v/>
      </c>
      <c r="I43" s="272">
        <f>IF(H43&lt;&gt;"Final","",IF(E43&gt;F43,D43,IF(F43&gt;E43,G43,"Draw")))</f>
        <v/>
      </c>
      <c r="J43" s="267" t="inlineStr">
        <is>
          <t>https://www.espn.com/soccer/story/_/id/48939282/2026-fifa-world-cup-fixtures-results-match-schedule-group-stage-knockout-rounds-bracket</t>
        </is>
      </c>
      <c r="K43" t="inlineStr">
        <is>
          <t>BC Place Vancouver</t>
        </is>
      </c>
      <c r="L43" t="inlineStr">
        <is>
          <t>20260621</t>
        </is>
      </c>
    </row>
    <row r="44" ht="21" customHeight="1" s="28">
      <c r="A44" t="inlineStr">
        <is>
          <t>M041</t>
        </is>
      </c>
      <c r="B44" t="inlineStr">
        <is>
          <t>2026-06-22</t>
        </is>
      </c>
      <c r="C44" t="inlineStr">
        <is>
          <t>J</t>
        </is>
      </c>
      <c r="D44" s="399" t="inlineStr">
        <is>
          <t>Argentina</t>
        </is>
      </c>
      <c r="E44" s="270" t="n"/>
      <c r="F44" s="270" t="n"/>
      <c r="G44" s="399" t="inlineStr">
        <is>
          <t>Austria</t>
        </is>
      </c>
      <c r="H44" s="272">
        <f>IF(AND(ISNUMBER(E44),ISNUMBER(F44)),"Final","Scheduled")</f>
        <v/>
      </c>
      <c r="I44" s="272">
        <f>IF(H44&lt;&gt;"Final","",IF(E44&gt;F44,D44,IF(F44&gt;E44,G44,"Draw")))</f>
        <v/>
      </c>
      <c r="J44" s="267" t="inlineStr">
        <is>
          <t>https://www.espn.com/soccer/story/_/id/48939282/2026-fifa-world-cup-fixtures-results-match-schedule-group-stage-knockout-rounds-bracket</t>
        </is>
      </c>
      <c r="K44" t="inlineStr">
        <is>
          <t>Dallas Stadium</t>
        </is>
      </c>
      <c r="L44" t="inlineStr">
        <is>
          <t>20260622</t>
        </is>
      </c>
    </row>
    <row r="45" ht="21" customHeight="1" s="28">
      <c r="A45" t="inlineStr">
        <is>
          <t>M042</t>
        </is>
      </c>
      <c r="B45" t="inlineStr">
        <is>
          <t>2026-06-22</t>
        </is>
      </c>
      <c r="C45" t="inlineStr">
        <is>
          <t>I</t>
        </is>
      </c>
      <c r="D45" s="399" t="inlineStr">
        <is>
          <t>France</t>
        </is>
      </c>
      <c r="E45" s="270" t="n"/>
      <c r="F45" s="270" t="n"/>
      <c r="G45" s="399" t="inlineStr">
        <is>
          <t>Iraq</t>
        </is>
      </c>
      <c r="H45" s="272">
        <f>IF(AND(ISNUMBER(E45),ISNUMBER(F45)),"Final","Scheduled")</f>
        <v/>
      </c>
      <c r="I45" s="272">
        <f>IF(H45&lt;&gt;"Final","",IF(E45&gt;F45,D45,IF(F45&gt;E45,G45,"Draw")))</f>
        <v/>
      </c>
      <c r="J45" s="267" t="inlineStr">
        <is>
          <t>https://www.espn.com/soccer/story/_/id/48939282/2026-fifa-world-cup-fixtures-results-match-schedule-group-stage-knockout-rounds-bracket</t>
        </is>
      </c>
      <c r="K45" t="inlineStr">
        <is>
          <t>Philadelphia Stadium</t>
        </is>
      </c>
      <c r="L45" t="inlineStr">
        <is>
          <t>20260622</t>
        </is>
      </c>
    </row>
    <row r="46" ht="21" customHeight="1" s="28">
      <c r="A46" t="inlineStr">
        <is>
          <t>M043</t>
        </is>
      </c>
      <c r="B46" t="inlineStr">
        <is>
          <t>2026-06-22</t>
        </is>
      </c>
      <c r="C46" t="inlineStr">
        <is>
          <t>I</t>
        </is>
      </c>
      <c r="D46" s="399" t="inlineStr">
        <is>
          <t>Norway</t>
        </is>
      </c>
      <c r="E46" s="270" t="n"/>
      <c r="F46" s="270" t="n"/>
      <c r="G46" s="399" t="inlineStr">
        <is>
          <t>Senegal</t>
        </is>
      </c>
      <c r="H46" s="272">
        <f>IF(AND(ISNUMBER(E46),ISNUMBER(F46)),"Final","Scheduled")</f>
        <v/>
      </c>
      <c r="I46" s="272">
        <f>IF(H46&lt;&gt;"Final","",IF(E46&gt;F46,D46,IF(F46&gt;E46,G46,"Draw")))</f>
        <v/>
      </c>
      <c r="J46" s="267" t="inlineStr">
        <is>
          <t>https://www.espn.com/soccer/story/_/id/48939282/2026-fifa-world-cup-fixtures-results-match-schedule-group-stage-knockout-rounds-bracket</t>
        </is>
      </c>
      <c r="K46" t="inlineStr">
        <is>
          <t>New York New Jersey Stadium</t>
        </is>
      </c>
      <c r="L46" t="inlineStr">
        <is>
          <t>20260622</t>
        </is>
      </c>
    </row>
    <row r="47" ht="21" customHeight="1" s="28">
      <c r="A47" t="inlineStr">
        <is>
          <t>M044</t>
        </is>
      </c>
      <c r="B47" t="inlineStr">
        <is>
          <t>2026-06-22</t>
        </is>
      </c>
      <c r="C47" t="inlineStr">
        <is>
          <t>J</t>
        </is>
      </c>
      <c r="D47" s="399" t="inlineStr">
        <is>
          <t>Jordan</t>
        </is>
      </c>
      <c r="E47" s="270" t="n"/>
      <c r="F47" s="270" t="n"/>
      <c r="G47" s="399" t="inlineStr">
        <is>
          <t>Algeria</t>
        </is>
      </c>
      <c r="H47" s="272">
        <f>IF(AND(ISNUMBER(E47),ISNUMBER(F47)),"Final","Scheduled")</f>
        <v/>
      </c>
      <c r="I47" s="272">
        <f>IF(H47&lt;&gt;"Final","",IF(E47&gt;F47,D47,IF(F47&gt;E47,G47,"Draw")))</f>
        <v/>
      </c>
      <c r="J47" s="267" t="inlineStr">
        <is>
          <t>https://www.espn.com/soccer/story/_/id/48939282/2026-fifa-world-cup-fixtures-results-match-schedule-group-stage-knockout-rounds-bracket</t>
        </is>
      </c>
      <c r="K47" t="inlineStr">
        <is>
          <t>San Francisco Bay Area Stadium</t>
        </is>
      </c>
      <c r="L47" t="inlineStr">
        <is>
          <t>20260622</t>
        </is>
      </c>
    </row>
    <row r="48" ht="21" customHeight="1" s="28">
      <c r="A48" t="inlineStr">
        <is>
          <t>M045</t>
        </is>
      </c>
      <c r="B48" t="inlineStr">
        <is>
          <t>2026-06-23</t>
        </is>
      </c>
      <c r="C48" t="inlineStr">
        <is>
          <t>K</t>
        </is>
      </c>
      <c r="D48" s="399" t="inlineStr">
        <is>
          <t>Portugal</t>
        </is>
      </c>
      <c r="E48" s="270" t="n"/>
      <c r="F48" s="270" t="n"/>
      <c r="G48" s="399" t="inlineStr">
        <is>
          <t>Uzbekistan</t>
        </is>
      </c>
      <c r="H48" s="272">
        <f>IF(AND(ISNUMBER(E48),ISNUMBER(F48)),"Final","Scheduled")</f>
        <v/>
      </c>
      <c r="I48" s="272">
        <f>IF(H48&lt;&gt;"Final","",IF(E48&gt;F48,D48,IF(F48&gt;E48,G48,"Draw")))</f>
        <v/>
      </c>
      <c r="J48" s="267" t="inlineStr">
        <is>
          <t>https://www.espn.com/soccer/story/_/id/48939282/2026-fifa-world-cup-fixtures-results-match-schedule-group-stage-knockout-rounds-bracket</t>
        </is>
      </c>
      <c r="K48" t="inlineStr">
        <is>
          <t>Houston Stadium</t>
        </is>
      </c>
      <c r="L48" t="inlineStr">
        <is>
          <t>20260623</t>
        </is>
      </c>
    </row>
    <row r="49" ht="21" customHeight="1" s="28">
      <c r="A49" t="inlineStr">
        <is>
          <t>M046</t>
        </is>
      </c>
      <c r="B49" t="inlineStr">
        <is>
          <t>2026-06-23</t>
        </is>
      </c>
      <c r="C49" t="inlineStr">
        <is>
          <t>L</t>
        </is>
      </c>
      <c r="D49" s="399" t="inlineStr">
        <is>
          <t>England</t>
        </is>
      </c>
      <c r="E49" s="270" t="n"/>
      <c r="F49" s="270" t="n"/>
      <c r="G49" s="399" t="inlineStr">
        <is>
          <t>Ghana</t>
        </is>
      </c>
      <c r="H49" s="272">
        <f>IF(AND(ISNUMBER(E49),ISNUMBER(F49)),"Final","Scheduled")</f>
        <v/>
      </c>
      <c r="I49" s="272">
        <f>IF(H49&lt;&gt;"Final","",IF(E49&gt;F49,D49,IF(F49&gt;E49,G49,"Draw")))</f>
        <v/>
      </c>
      <c r="J49" s="267" t="inlineStr">
        <is>
          <t>https://www.espn.com/soccer/story/_/id/48939282/2026-fifa-world-cup-fixtures-results-match-schedule-group-stage-knockout-rounds-bracket</t>
        </is>
      </c>
      <c r="K49" t="inlineStr">
        <is>
          <t>Boston Stadium</t>
        </is>
      </c>
      <c r="L49" t="inlineStr">
        <is>
          <t>20260623</t>
        </is>
      </c>
    </row>
    <row r="50" ht="21" customHeight="1" s="28">
      <c r="A50" t="inlineStr">
        <is>
          <t>M047</t>
        </is>
      </c>
      <c r="B50" t="inlineStr">
        <is>
          <t>2026-06-23</t>
        </is>
      </c>
      <c r="C50" t="inlineStr">
        <is>
          <t>L</t>
        </is>
      </c>
      <c r="D50" s="399" t="inlineStr">
        <is>
          <t>Panama</t>
        </is>
      </c>
      <c r="E50" s="270" t="n"/>
      <c r="F50" s="270" t="n"/>
      <c r="G50" s="399" t="inlineStr">
        <is>
          <t>Croatia</t>
        </is>
      </c>
      <c r="H50" s="272">
        <f>IF(AND(ISNUMBER(E50),ISNUMBER(F50)),"Final","Scheduled")</f>
        <v/>
      </c>
      <c r="I50" s="272">
        <f>IF(H50&lt;&gt;"Final","",IF(E50&gt;F50,D50,IF(F50&gt;E50,G50,"Draw")))</f>
        <v/>
      </c>
      <c r="J50" s="267" t="inlineStr">
        <is>
          <t>https://www.espn.com/soccer/story/_/id/48939282/2026-fifa-world-cup-fixtures-results-match-schedule-group-stage-knockout-rounds-bracket</t>
        </is>
      </c>
      <c r="K50" t="inlineStr">
        <is>
          <t>Toronto Stadium</t>
        </is>
      </c>
      <c r="L50" t="inlineStr">
        <is>
          <t>20260623</t>
        </is>
      </c>
    </row>
    <row r="51" ht="21" customHeight="1" s="28">
      <c r="A51" t="inlineStr">
        <is>
          <t>M048</t>
        </is>
      </c>
      <c r="B51" t="inlineStr">
        <is>
          <t>2026-06-23</t>
        </is>
      </c>
      <c r="C51" t="inlineStr">
        <is>
          <t>K</t>
        </is>
      </c>
      <c r="D51" s="399" t="inlineStr">
        <is>
          <t>Colombia</t>
        </is>
      </c>
      <c r="E51" s="270" t="n"/>
      <c r="F51" s="270" t="n"/>
      <c r="G51" s="399" t="inlineStr">
        <is>
          <t>Congo DR</t>
        </is>
      </c>
      <c r="H51" s="272">
        <f>IF(AND(ISNUMBER(E51),ISNUMBER(F51)),"Final","Scheduled")</f>
        <v/>
      </c>
      <c r="I51" s="272">
        <f>IF(H51&lt;&gt;"Final","",IF(E51&gt;F51,D51,IF(F51&gt;E51,G51,"Draw")))</f>
        <v/>
      </c>
      <c r="J51" s="267" t="inlineStr">
        <is>
          <t>https://www.espn.com/soccer/story/_/id/48939282/2026-fifa-world-cup-fixtures-results-match-schedule-group-stage-knockout-rounds-bracket</t>
        </is>
      </c>
      <c r="K51" t="inlineStr">
        <is>
          <t>Estadio Guadalajara</t>
        </is>
      </c>
      <c r="L51" t="inlineStr">
        <is>
          <t>20260623</t>
        </is>
      </c>
    </row>
    <row r="52" ht="21" customHeight="1" s="28">
      <c r="A52" t="inlineStr">
        <is>
          <t>M049</t>
        </is>
      </c>
      <c r="B52" t="inlineStr">
        <is>
          <t>2026-06-24</t>
        </is>
      </c>
      <c r="C52" t="inlineStr">
        <is>
          <t>B</t>
        </is>
      </c>
      <c r="D52" s="399" t="inlineStr">
        <is>
          <t>Switzerland</t>
        </is>
      </c>
      <c r="E52" s="270" t="n"/>
      <c r="F52" s="270" t="n"/>
      <c r="G52" s="399" t="inlineStr">
        <is>
          <t>Canada</t>
        </is>
      </c>
      <c r="H52" s="272">
        <f>IF(AND(ISNUMBER(E52),ISNUMBER(F52)),"Final","Scheduled")</f>
        <v/>
      </c>
      <c r="I52" s="272">
        <f>IF(H52&lt;&gt;"Final","",IF(E52&gt;F52,D52,IF(F52&gt;E52,G52,"Draw")))</f>
        <v/>
      </c>
      <c r="J52" s="267" t="inlineStr">
        <is>
          <t>https://www.espn.com/soccer/story/_/id/48939282/2026-fifa-world-cup-fixtures-results-match-schedule-group-stage-knockout-rounds-bracket</t>
        </is>
      </c>
      <c r="K52" t="inlineStr">
        <is>
          <t>BC Place Vancouver</t>
        </is>
      </c>
      <c r="L52" t="inlineStr">
        <is>
          <t>20260624</t>
        </is>
      </c>
    </row>
    <row r="53" ht="21" customHeight="1" s="28">
      <c r="A53" t="inlineStr">
        <is>
          <t>M050</t>
        </is>
      </c>
      <c r="B53" t="inlineStr">
        <is>
          <t>2026-06-24</t>
        </is>
      </c>
      <c r="C53" t="inlineStr">
        <is>
          <t>B</t>
        </is>
      </c>
      <c r="D53" s="399" t="inlineStr">
        <is>
          <t>Bosnia and Herzegovina</t>
        </is>
      </c>
      <c r="E53" s="270" t="n"/>
      <c r="F53" s="270" t="n"/>
      <c r="G53" s="399" t="inlineStr">
        <is>
          <t>Qatar</t>
        </is>
      </c>
      <c r="H53" s="272">
        <f>IF(AND(ISNUMBER(E53),ISNUMBER(F53)),"Final","Scheduled")</f>
        <v/>
      </c>
      <c r="I53" s="272">
        <f>IF(H53&lt;&gt;"Final","",IF(E53&gt;F53,D53,IF(F53&gt;E53,G53,"Draw")))</f>
        <v/>
      </c>
      <c r="J53" s="267" t="inlineStr">
        <is>
          <t>https://www.espn.com/soccer/story/_/id/48939282/2026-fifa-world-cup-fixtures-results-match-schedule-group-stage-knockout-rounds-bracket</t>
        </is>
      </c>
      <c r="K53" t="inlineStr">
        <is>
          <t>Seattle Stadium</t>
        </is>
      </c>
      <c r="L53" t="inlineStr">
        <is>
          <t>20260624</t>
        </is>
      </c>
    </row>
    <row r="54" ht="21" customHeight="1" s="28">
      <c r="A54" t="inlineStr">
        <is>
          <t>M051</t>
        </is>
      </c>
      <c r="B54" t="inlineStr">
        <is>
          <t>2026-06-24</t>
        </is>
      </c>
      <c r="C54" t="inlineStr">
        <is>
          <t>C</t>
        </is>
      </c>
      <c r="D54" s="399" t="inlineStr">
        <is>
          <t>Morocco</t>
        </is>
      </c>
      <c r="E54" s="270" t="n"/>
      <c r="F54" s="270" t="n"/>
      <c r="G54" s="399" t="inlineStr">
        <is>
          <t>Haiti</t>
        </is>
      </c>
      <c r="H54" s="272">
        <f>IF(AND(ISNUMBER(E54),ISNUMBER(F54)),"Final","Scheduled")</f>
        <v/>
      </c>
      <c r="I54" s="272">
        <f>IF(H54&lt;&gt;"Final","",IF(E54&gt;F54,D54,IF(F54&gt;E54,G54,"Draw")))</f>
        <v/>
      </c>
      <c r="J54" s="267" t="inlineStr">
        <is>
          <t>https://www.espn.com/soccer/story/_/id/48939282/2026-fifa-world-cup-fixtures-results-match-schedule-group-stage-knockout-rounds-bracket</t>
        </is>
      </c>
      <c r="K54" t="inlineStr">
        <is>
          <t>Atlanta Stadium</t>
        </is>
      </c>
      <c r="L54" t="inlineStr">
        <is>
          <t>20260624</t>
        </is>
      </c>
    </row>
    <row r="55" ht="21" customHeight="1" s="28">
      <c r="A55" t="inlineStr">
        <is>
          <t>M052</t>
        </is>
      </c>
      <c r="B55" t="inlineStr">
        <is>
          <t>2026-06-24</t>
        </is>
      </c>
      <c r="C55" t="inlineStr">
        <is>
          <t>C</t>
        </is>
      </c>
      <c r="D55" s="399" t="inlineStr">
        <is>
          <t>Scotland</t>
        </is>
      </c>
      <c r="E55" s="270" t="n"/>
      <c r="F55" s="270" t="n"/>
      <c r="G55" s="399" t="inlineStr">
        <is>
          <t>Brazil</t>
        </is>
      </c>
      <c r="H55" s="272">
        <f>IF(AND(ISNUMBER(E55),ISNUMBER(F55)),"Final","Scheduled")</f>
        <v/>
      </c>
      <c r="I55" s="272">
        <f>IF(H55&lt;&gt;"Final","",IF(E55&gt;F55,D55,IF(F55&gt;E55,G55,"Draw")))</f>
        <v/>
      </c>
      <c r="J55" s="267" t="inlineStr">
        <is>
          <t>https://www.espn.com/soccer/story/_/id/48939282/2026-fifa-world-cup-fixtures-results-match-schedule-group-stage-knockout-rounds-bracket</t>
        </is>
      </c>
      <c r="K55" t="inlineStr">
        <is>
          <t>Miami Stadium</t>
        </is>
      </c>
      <c r="L55" t="inlineStr">
        <is>
          <t>20260624</t>
        </is>
      </c>
    </row>
    <row r="56" ht="21" customHeight="1" s="28">
      <c r="A56" t="inlineStr">
        <is>
          <t>M053</t>
        </is>
      </c>
      <c r="B56" t="inlineStr">
        <is>
          <t>2026-06-24</t>
        </is>
      </c>
      <c r="C56" t="inlineStr">
        <is>
          <t>A</t>
        </is>
      </c>
      <c r="D56" s="399" t="inlineStr">
        <is>
          <t>South Africa</t>
        </is>
      </c>
      <c r="E56" s="270" t="n"/>
      <c r="F56" s="270" t="n"/>
      <c r="G56" s="399" t="inlineStr">
        <is>
          <t>Korea Republic</t>
        </is>
      </c>
      <c r="H56" s="272">
        <f>IF(AND(ISNUMBER(E56),ISNUMBER(F56)),"Final","Scheduled")</f>
        <v/>
      </c>
      <c r="I56" s="272">
        <f>IF(H56&lt;&gt;"Final","",IF(E56&gt;F56,D56,IF(F56&gt;E56,G56,"Draw")))</f>
        <v/>
      </c>
      <c r="J56" s="267" t="inlineStr">
        <is>
          <t>https://www.espn.com/soccer/story/_/id/48939282/2026-fifa-world-cup-fixtures-results-match-schedule-group-stage-knockout-rounds-bracket</t>
        </is>
      </c>
      <c r="K56" t="inlineStr">
        <is>
          <t>Estadio Monterrey</t>
        </is>
      </c>
      <c r="L56" t="inlineStr">
        <is>
          <t>20260624</t>
        </is>
      </c>
    </row>
    <row r="57" ht="21" customHeight="1" s="28">
      <c r="A57" t="inlineStr">
        <is>
          <t>M054</t>
        </is>
      </c>
      <c r="B57" t="inlineStr">
        <is>
          <t>2026-06-24</t>
        </is>
      </c>
      <c r="C57" t="inlineStr">
        <is>
          <t>A</t>
        </is>
      </c>
      <c r="D57" s="399" t="inlineStr">
        <is>
          <t>Czechia</t>
        </is>
      </c>
      <c r="E57" s="270" t="n"/>
      <c r="F57" s="270" t="n"/>
      <c r="G57" s="399" t="inlineStr">
        <is>
          <t>Mexico</t>
        </is>
      </c>
      <c r="H57" s="272">
        <f>IF(AND(ISNUMBER(E57),ISNUMBER(F57)),"Final","Scheduled")</f>
        <v/>
      </c>
      <c r="I57" s="272">
        <f>IF(H57&lt;&gt;"Final","",IF(E57&gt;F57,D57,IF(F57&gt;E57,G57,"Draw")))</f>
        <v/>
      </c>
      <c r="J57" s="267" t="inlineStr">
        <is>
          <t>https://www.espn.com/soccer/story/_/id/48939282/2026-fifa-world-cup-fixtures-results-match-schedule-group-stage-knockout-rounds-bracket</t>
        </is>
      </c>
      <c r="K57" t="inlineStr">
        <is>
          <t>Mexico City Stadium</t>
        </is>
      </c>
      <c r="L57" t="inlineStr">
        <is>
          <t>20260624</t>
        </is>
      </c>
    </row>
    <row r="58" ht="21" customHeight="1" s="28">
      <c r="A58" t="inlineStr">
        <is>
          <t>M055</t>
        </is>
      </c>
      <c r="B58" t="inlineStr">
        <is>
          <t>2026-06-25</t>
        </is>
      </c>
      <c r="C58" t="inlineStr">
        <is>
          <t>E</t>
        </is>
      </c>
      <c r="D58" s="399" t="inlineStr">
        <is>
          <t>Curaçao</t>
        </is>
      </c>
      <c r="E58" s="270" t="n"/>
      <c r="F58" s="270" t="n"/>
      <c r="G58" s="399" t="inlineStr">
        <is>
          <t>Côte d'Ivoire</t>
        </is>
      </c>
      <c r="H58" s="272">
        <f>IF(AND(ISNUMBER(E58),ISNUMBER(F58)),"Final","Scheduled")</f>
        <v/>
      </c>
      <c r="I58" s="272">
        <f>IF(H58&lt;&gt;"Final","",IF(E58&gt;F58,D58,IF(F58&gt;E58,G58,"Draw")))</f>
        <v/>
      </c>
      <c r="J58" s="267" t="inlineStr">
        <is>
          <t>https://www.espn.com/soccer/story/_/id/48939282/2026-fifa-world-cup-fixtures-results-match-schedule-group-stage-knockout-rounds-bracket</t>
        </is>
      </c>
      <c r="K58" t="inlineStr">
        <is>
          <t>Philadelphia Stadium</t>
        </is>
      </c>
      <c r="L58" t="inlineStr">
        <is>
          <t>20260625</t>
        </is>
      </c>
    </row>
    <row r="59" ht="21" customHeight="1" s="28">
      <c r="A59" t="inlineStr">
        <is>
          <t>M056</t>
        </is>
      </c>
      <c r="B59" t="inlineStr">
        <is>
          <t>2026-06-25</t>
        </is>
      </c>
      <c r="C59" t="inlineStr">
        <is>
          <t>E</t>
        </is>
      </c>
      <c r="D59" s="399" t="inlineStr">
        <is>
          <t>Ecuador</t>
        </is>
      </c>
      <c r="E59" s="270" t="n"/>
      <c r="F59" s="270" t="n"/>
      <c r="G59" s="399" t="inlineStr">
        <is>
          <t>Germany</t>
        </is>
      </c>
      <c r="H59" s="272">
        <f>IF(AND(ISNUMBER(E59),ISNUMBER(F59)),"Final","Scheduled")</f>
        <v/>
      </c>
      <c r="I59" s="272">
        <f>IF(H59&lt;&gt;"Final","",IF(E59&gt;F59,D59,IF(F59&gt;E59,G59,"Draw")))</f>
        <v/>
      </c>
      <c r="J59" s="267" t="inlineStr">
        <is>
          <t>https://www.espn.com/soccer/story/_/id/48939282/2026-fifa-world-cup-fixtures-results-match-schedule-group-stage-knockout-rounds-bracket</t>
        </is>
      </c>
      <c r="K59" t="inlineStr">
        <is>
          <t>New York New Jersey Stadium</t>
        </is>
      </c>
      <c r="L59" t="inlineStr">
        <is>
          <t>20260625</t>
        </is>
      </c>
    </row>
    <row r="60" ht="21" customHeight="1" s="28">
      <c r="A60" t="inlineStr">
        <is>
          <t>M057</t>
        </is>
      </c>
      <c r="B60" t="inlineStr">
        <is>
          <t>2026-06-25</t>
        </is>
      </c>
      <c r="C60" t="inlineStr">
        <is>
          <t>F</t>
        </is>
      </c>
      <c r="D60" s="399" t="inlineStr">
        <is>
          <t>Tunisia</t>
        </is>
      </c>
      <c r="E60" s="270" t="n"/>
      <c r="F60" s="270" t="n"/>
      <c r="G60" s="399" t="inlineStr">
        <is>
          <t>Netherlands</t>
        </is>
      </c>
      <c r="H60" s="272">
        <f>IF(AND(ISNUMBER(E60),ISNUMBER(F60)),"Final","Scheduled")</f>
        <v/>
      </c>
      <c r="I60" s="272">
        <f>IF(H60&lt;&gt;"Final","",IF(E60&gt;F60,D60,IF(F60&gt;E60,G60,"Draw")))</f>
        <v/>
      </c>
      <c r="J60" s="267" t="inlineStr">
        <is>
          <t>https://www.espn.com/soccer/story/_/id/48939282/2026-fifa-world-cup-fixtures-results-match-schedule-group-stage-knockout-rounds-bracket</t>
        </is>
      </c>
      <c r="K60" t="inlineStr">
        <is>
          <t>Kansas City Stadium</t>
        </is>
      </c>
      <c r="L60" t="inlineStr">
        <is>
          <t>20260625</t>
        </is>
      </c>
    </row>
    <row r="61" ht="21" customHeight="1" s="28">
      <c r="A61" t="inlineStr">
        <is>
          <t>M058</t>
        </is>
      </c>
      <c r="B61" t="inlineStr">
        <is>
          <t>2026-06-25</t>
        </is>
      </c>
      <c r="C61" t="inlineStr">
        <is>
          <t>F</t>
        </is>
      </c>
      <c r="D61" s="399" t="inlineStr">
        <is>
          <t>Japan</t>
        </is>
      </c>
      <c r="E61" s="270" t="n"/>
      <c r="F61" s="270" t="n"/>
      <c r="G61" s="399" t="inlineStr">
        <is>
          <t>Sweden</t>
        </is>
      </c>
      <c r="H61" s="272">
        <f>IF(AND(ISNUMBER(E61),ISNUMBER(F61)),"Final","Scheduled")</f>
        <v/>
      </c>
      <c r="I61" s="272">
        <f>IF(H61&lt;&gt;"Final","",IF(E61&gt;F61,D61,IF(F61&gt;E61,G61,"Draw")))</f>
        <v/>
      </c>
      <c r="J61" s="267" t="inlineStr">
        <is>
          <t>https://www.espn.com/soccer/story/_/id/48939282/2026-fifa-world-cup-fixtures-results-match-schedule-group-stage-knockout-rounds-bracket</t>
        </is>
      </c>
      <c r="K61" t="inlineStr">
        <is>
          <t>Dallas Stadium</t>
        </is>
      </c>
      <c r="L61" t="inlineStr">
        <is>
          <t>20260625</t>
        </is>
      </c>
    </row>
    <row r="62" ht="21" customHeight="1" s="28">
      <c r="A62" t="inlineStr">
        <is>
          <t>M059</t>
        </is>
      </c>
      <c r="B62" t="inlineStr">
        <is>
          <t>2026-06-25</t>
        </is>
      </c>
      <c r="C62" t="inlineStr">
        <is>
          <t>D</t>
        </is>
      </c>
      <c r="D62" s="399" t="inlineStr">
        <is>
          <t>Türkiye</t>
        </is>
      </c>
      <c r="E62" s="270" t="n"/>
      <c r="F62" s="270" t="n"/>
      <c r="G62" s="399" t="inlineStr">
        <is>
          <t>USA</t>
        </is>
      </c>
      <c r="H62" s="272">
        <f>IF(AND(ISNUMBER(E62),ISNUMBER(F62)),"Final","Scheduled")</f>
        <v/>
      </c>
      <c r="I62" s="272">
        <f>IF(H62&lt;&gt;"Final","",IF(E62&gt;F62,D62,IF(F62&gt;E62,G62,"Draw")))</f>
        <v/>
      </c>
      <c r="J62" s="267" t="inlineStr">
        <is>
          <t>https://www.espn.com/soccer/story/_/id/48939282/2026-fifa-world-cup-fixtures-results-match-schedule-group-stage-knockout-rounds-bracket</t>
        </is>
      </c>
      <c r="K62" t="inlineStr">
        <is>
          <t>Los Angeles Stadium</t>
        </is>
      </c>
      <c r="L62" t="inlineStr">
        <is>
          <t>20260625</t>
        </is>
      </c>
    </row>
    <row r="63" ht="21" customHeight="1" s="28">
      <c r="A63" t="inlineStr">
        <is>
          <t>M060</t>
        </is>
      </c>
      <c r="B63" t="inlineStr">
        <is>
          <t>2026-06-25</t>
        </is>
      </c>
      <c r="C63" t="inlineStr">
        <is>
          <t>D</t>
        </is>
      </c>
      <c r="D63" s="399" t="inlineStr">
        <is>
          <t>Paraguay</t>
        </is>
      </c>
      <c r="E63" s="270" t="n"/>
      <c r="F63" s="270" t="n"/>
      <c r="G63" s="399" t="inlineStr">
        <is>
          <t>Australia</t>
        </is>
      </c>
      <c r="H63" s="272">
        <f>IF(AND(ISNUMBER(E63),ISNUMBER(F63)),"Final","Scheduled")</f>
        <v/>
      </c>
      <c r="I63" s="272">
        <f>IF(H63&lt;&gt;"Final","",IF(E63&gt;F63,D63,IF(F63&gt;E63,G63,"Draw")))</f>
        <v/>
      </c>
      <c r="J63" s="267" t="inlineStr">
        <is>
          <t>https://www.espn.com/soccer/story/_/id/48939282/2026-fifa-world-cup-fixtures-results-match-schedule-group-stage-knockout-rounds-bracket</t>
        </is>
      </c>
      <c r="K63" t="inlineStr">
        <is>
          <t>San Francisco Bay Area Stadium</t>
        </is>
      </c>
      <c r="L63" t="inlineStr">
        <is>
          <t>20260625</t>
        </is>
      </c>
    </row>
    <row r="64" ht="21" customHeight="1" s="28">
      <c r="A64" t="inlineStr">
        <is>
          <t>M061</t>
        </is>
      </c>
      <c r="B64" t="inlineStr">
        <is>
          <t>2026-06-26</t>
        </is>
      </c>
      <c r="C64" t="inlineStr">
        <is>
          <t>I</t>
        </is>
      </c>
      <c r="D64" s="399" t="inlineStr">
        <is>
          <t>Norway</t>
        </is>
      </c>
      <c r="E64" s="270" t="n"/>
      <c r="F64" s="270" t="n"/>
      <c r="G64" s="399" t="inlineStr">
        <is>
          <t>France</t>
        </is>
      </c>
      <c r="H64" s="272">
        <f>IF(AND(ISNUMBER(E64),ISNUMBER(F64)),"Final","Scheduled")</f>
        <v/>
      </c>
      <c r="I64" s="272">
        <f>IF(H64&lt;&gt;"Final","",IF(E64&gt;F64,D64,IF(F64&gt;E64,G64,"Draw")))</f>
        <v/>
      </c>
      <c r="J64" s="267" t="inlineStr">
        <is>
          <t>https://www.espn.com/soccer/story/_/id/48939282/2026-fifa-world-cup-fixtures-results-match-schedule-group-stage-knockout-rounds-bracket</t>
        </is>
      </c>
      <c r="K64" t="inlineStr">
        <is>
          <t>Boston Stadium</t>
        </is>
      </c>
      <c r="L64" t="inlineStr">
        <is>
          <t>20260626</t>
        </is>
      </c>
    </row>
    <row r="65" ht="21" customHeight="1" s="28">
      <c r="A65" t="inlineStr">
        <is>
          <t>M062</t>
        </is>
      </c>
      <c r="B65" t="inlineStr">
        <is>
          <t>2026-06-26</t>
        </is>
      </c>
      <c r="C65" t="inlineStr">
        <is>
          <t>I</t>
        </is>
      </c>
      <c r="D65" s="399" t="inlineStr">
        <is>
          <t>Senegal</t>
        </is>
      </c>
      <c r="E65" s="270" t="n"/>
      <c r="F65" s="270" t="n"/>
      <c r="G65" s="399" t="inlineStr">
        <is>
          <t>Iraq</t>
        </is>
      </c>
      <c r="H65" s="272">
        <f>IF(AND(ISNUMBER(E65),ISNUMBER(F65)),"Final","Scheduled")</f>
        <v/>
      </c>
      <c r="I65" s="272">
        <f>IF(H65&lt;&gt;"Final","",IF(E65&gt;F65,D65,IF(F65&gt;E65,G65,"Draw")))</f>
        <v/>
      </c>
      <c r="J65" s="267" t="inlineStr">
        <is>
          <t>https://www.espn.com/soccer/story/_/id/48939282/2026-fifa-world-cup-fixtures-results-match-schedule-group-stage-knockout-rounds-bracket</t>
        </is>
      </c>
      <c r="K65" t="inlineStr">
        <is>
          <t>Toronto Stadium</t>
        </is>
      </c>
      <c r="L65" t="inlineStr">
        <is>
          <t>20260626</t>
        </is>
      </c>
    </row>
    <row r="66" ht="21" customHeight="1" s="28">
      <c r="A66" t="inlineStr">
        <is>
          <t>M063</t>
        </is>
      </c>
      <c r="B66" t="inlineStr">
        <is>
          <t>2026-06-26</t>
        </is>
      </c>
      <c r="C66" t="inlineStr">
        <is>
          <t>H</t>
        </is>
      </c>
      <c r="D66" s="399" t="inlineStr">
        <is>
          <t>Cabo Verde</t>
        </is>
      </c>
      <c r="E66" s="270" t="n"/>
      <c r="F66" s="270" t="n"/>
      <c r="G66" s="399" t="inlineStr">
        <is>
          <t>Saudi Arabia</t>
        </is>
      </c>
      <c r="H66" s="272">
        <f>IF(AND(ISNUMBER(E66),ISNUMBER(F66)),"Final","Scheduled")</f>
        <v/>
      </c>
      <c r="I66" s="272">
        <f>IF(H66&lt;&gt;"Final","",IF(E66&gt;F66,D66,IF(F66&gt;E66,G66,"Draw")))</f>
        <v/>
      </c>
      <c r="J66" s="267" t="inlineStr">
        <is>
          <t>https://www.espn.com/soccer/story/_/id/48939282/2026-fifa-world-cup-fixtures-results-match-schedule-group-stage-knockout-rounds-bracket</t>
        </is>
      </c>
      <c r="K66" t="inlineStr">
        <is>
          <t>Houston Stadium</t>
        </is>
      </c>
      <c r="L66" t="inlineStr">
        <is>
          <t>20260626</t>
        </is>
      </c>
    </row>
    <row r="67" ht="21" customHeight="1" s="28">
      <c r="A67" t="inlineStr">
        <is>
          <t>M064</t>
        </is>
      </c>
      <c r="B67" t="inlineStr">
        <is>
          <t>2026-06-26</t>
        </is>
      </c>
      <c r="C67" t="inlineStr">
        <is>
          <t>H</t>
        </is>
      </c>
      <c r="D67" s="399" t="inlineStr">
        <is>
          <t>Uruguay</t>
        </is>
      </c>
      <c r="E67" s="270" t="n"/>
      <c r="F67" s="270" t="n"/>
      <c r="G67" s="399" t="inlineStr">
        <is>
          <t>Spain</t>
        </is>
      </c>
      <c r="H67" s="272">
        <f>IF(AND(ISNUMBER(E67),ISNUMBER(F67)),"Final","Scheduled")</f>
        <v/>
      </c>
      <c r="I67" s="272">
        <f>IF(H67&lt;&gt;"Final","",IF(E67&gt;F67,D67,IF(F67&gt;E67,G67,"Draw")))</f>
        <v/>
      </c>
      <c r="J67" s="267" t="inlineStr">
        <is>
          <t>https://www.espn.com/soccer/story/_/id/48939282/2026-fifa-world-cup-fixtures-results-match-schedule-group-stage-knockout-rounds-bracket</t>
        </is>
      </c>
      <c r="K67" t="inlineStr">
        <is>
          <t>Estadio Guadalajara</t>
        </is>
      </c>
      <c r="L67" t="inlineStr">
        <is>
          <t>20260626</t>
        </is>
      </c>
    </row>
    <row r="68" ht="21" customHeight="1" s="28">
      <c r="A68" t="inlineStr">
        <is>
          <t>M065</t>
        </is>
      </c>
      <c r="B68" t="inlineStr">
        <is>
          <t>2026-06-26</t>
        </is>
      </c>
      <c r="C68" t="inlineStr">
        <is>
          <t>G</t>
        </is>
      </c>
      <c r="D68" s="399" t="inlineStr">
        <is>
          <t>New Zealand</t>
        </is>
      </c>
      <c r="E68" s="270" t="n"/>
      <c r="F68" s="270" t="n"/>
      <c r="G68" s="399" t="inlineStr">
        <is>
          <t>Belgium</t>
        </is>
      </c>
      <c r="H68" s="272">
        <f>IF(AND(ISNUMBER(E68),ISNUMBER(F68)),"Final","Scheduled")</f>
        <v/>
      </c>
      <c r="I68" s="272">
        <f>IF(H68&lt;&gt;"Final","",IF(E68&gt;F68,D68,IF(F68&gt;E68,G68,"Draw")))</f>
        <v/>
      </c>
      <c r="J68" s="267" t="inlineStr">
        <is>
          <t>https://www.espn.com/soccer/story/_/id/48939282/2026-fifa-world-cup-fixtures-results-match-schedule-group-stage-knockout-rounds-bracket</t>
        </is>
      </c>
      <c r="K68" t="inlineStr">
        <is>
          <t>BC Place Vancouver</t>
        </is>
      </c>
      <c r="L68" t="inlineStr">
        <is>
          <t>20260626</t>
        </is>
      </c>
    </row>
    <row r="69" ht="21" customHeight="1" s="28">
      <c r="A69" t="inlineStr">
        <is>
          <t>M066</t>
        </is>
      </c>
      <c r="B69" t="inlineStr">
        <is>
          <t>2026-06-26</t>
        </is>
      </c>
      <c r="C69" t="inlineStr">
        <is>
          <t>G</t>
        </is>
      </c>
      <c r="D69" s="399" t="inlineStr">
        <is>
          <t>Egypt</t>
        </is>
      </c>
      <c r="E69" s="270" t="n"/>
      <c r="F69" s="270" t="n"/>
      <c r="G69" s="399" t="inlineStr">
        <is>
          <t>IR Iran</t>
        </is>
      </c>
      <c r="H69" s="272">
        <f>IF(AND(ISNUMBER(E69),ISNUMBER(F69)),"Final","Scheduled")</f>
        <v/>
      </c>
      <c r="I69" s="272">
        <f>IF(H69&lt;&gt;"Final","",IF(E69&gt;F69,D69,IF(F69&gt;E69,G69,"Draw")))</f>
        <v/>
      </c>
      <c r="J69" s="267" t="inlineStr">
        <is>
          <t>https://www.espn.com/soccer/story/_/id/48939282/2026-fifa-world-cup-fixtures-results-match-schedule-group-stage-knockout-rounds-bracket</t>
        </is>
      </c>
      <c r="K69" t="inlineStr">
        <is>
          <t>Seattle Stadium</t>
        </is>
      </c>
      <c r="L69" t="inlineStr">
        <is>
          <t>20260626</t>
        </is>
      </c>
    </row>
    <row r="70" ht="21" customHeight="1" s="28">
      <c r="A70" t="inlineStr">
        <is>
          <t>M067</t>
        </is>
      </c>
      <c r="B70" t="inlineStr">
        <is>
          <t>2026-06-27</t>
        </is>
      </c>
      <c r="C70" t="inlineStr">
        <is>
          <t>L</t>
        </is>
      </c>
      <c r="D70" s="399" t="inlineStr">
        <is>
          <t>Panama</t>
        </is>
      </c>
      <c r="E70" s="270" t="n"/>
      <c r="F70" s="270" t="n"/>
      <c r="G70" s="399" t="inlineStr">
        <is>
          <t>England</t>
        </is>
      </c>
      <c r="H70" s="272">
        <f>IF(AND(ISNUMBER(E70),ISNUMBER(F70)),"Final","Scheduled")</f>
        <v/>
      </c>
      <c r="I70" s="272">
        <f>IF(H70&lt;&gt;"Final","",IF(E70&gt;F70,D70,IF(F70&gt;E70,G70,"Draw")))</f>
        <v/>
      </c>
      <c r="J70" s="267" t="inlineStr">
        <is>
          <t>https://www.espn.com/soccer/story/_/id/48939282/2026-fifa-world-cup-fixtures-results-match-schedule-group-stage-knockout-rounds-bracket</t>
        </is>
      </c>
      <c r="K70" t="inlineStr">
        <is>
          <t>New York New Jersey Stadium</t>
        </is>
      </c>
      <c r="L70" t="inlineStr">
        <is>
          <t>20260627</t>
        </is>
      </c>
    </row>
    <row r="71" ht="21" customHeight="1" s="28">
      <c r="A71" t="inlineStr">
        <is>
          <t>M068</t>
        </is>
      </c>
      <c r="B71" t="inlineStr">
        <is>
          <t>2026-06-27</t>
        </is>
      </c>
      <c r="C71" t="inlineStr">
        <is>
          <t>L</t>
        </is>
      </c>
      <c r="D71" s="399" t="inlineStr">
        <is>
          <t>Croatia</t>
        </is>
      </c>
      <c r="E71" s="270" t="n"/>
      <c r="F71" s="270" t="n"/>
      <c r="G71" s="399" t="inlineStr">
        <is>
          <t>Ghana</t>
        </is>
      </c>
      <c r="H71" s="272">
        <f>IF(AND(ISNUMBER(E71),ISNUMBER(F71)),"Final","Scheduled")</f>
        <v/>
      </c>
      <c r="I71" s="272">
        <f>IF(H71&lt;&gt;"Final","",IF(E71&gt;F71,D71,IF(F71&gt;E71,G71,"Draw")))</f>
        <v/>
      </c>
      <c r="J71" s="267" t="inlineStr">
        <is>
          <t>https://www.espn.com/soccer/story/_/id/48939282/2026-fifa-world-cup-fixtures-results-match-schedule-group-stage-knockout-rounds-bracket</t>
        </is>
      </c>
      <c r="K71" t="inlineStr">
        <is>
          <t>Philadelphia Stadium</t>
        </is>
      </c>
      <c r="L71" t="inlineStr">
        <is>
          <t>20260627</t>
        </is>
      </c>
    </row>
    <row r="72" ht="21" customHeight="1" s="28">
      <c r="A72" t="inlineStr">
        <is>
          <t>M069</t>
        </is>
      </c>
      <c r="B72" t="inlineStr">
        <is>
          <t>2026-06-27</t>
        </is>
      </c>
      <c r="C72" t="inlineStr">
        <is>
          <t>K</t>
        </is>
      </c>
      <c r="D72" s="399" t="inlineStr">
        <is>
          <t>Colombia</t>
        </is>
      </c>
      <c r="E72" s="270" t="n"/>
      <c r="F72" s="270" t="n"/>
      <c r="G72" s="399" t="inlineStr">
        <is>
          <t>Portugal</t>
        </is>
      </c>
      <c r="H72" s="272">
        <f>IF(AND(ISNUMBER(E72),ISNUMBER(F72)),"Final","Scheduled")</f>
        <v/>
      </c>
      <c r="I72" s="272">
        <f>IF(H72&lt;&gt;"Final","",IF(E72&gt;F72,D72,IF(F72&gt;E72,G72,"Draw")))</f>
        <v/>
      </c>
      <c r="J72" s="267" t="inlineStr">
        <is>
          <t>https://www.espn.com/soccer/story/_/id/48939282/2026-fifa-world-cup-fixtures-results-match-schedule-group-stage-knockout-rounds-bracket</t>
        </is>
      </c>
      <c r="K72" t="inlineStr">
        <is>
          <t>Miami Stadium</t>
        </is>
      </c>
      <c r="L72" t="inlineStr">
        <is>
          <t>20260627</t>
        </is>
      </c>
    </row>
    <row r="73" ht="21" customHeight="1" s="28">
      <c r="A73" t="inlineStr">
        <is>
          <t>M070</t>
        </is>
      </c>
      <c r="B73" t="inlineStr">
        <is>
          <t>2026-06-27</t>
        </is>
      </c>
      <c r="C73" t="inlineStr">
        <is>
          <t>K</t>
        </is>
      </c>
      <c r="D73" s="399" t="inlineStr">
        <is>
          <t>Congo DR</t>
        </is>
      </c>
      <c r="E73" s="270" t="n"/>
      <c r="F73" s="270" t="n"/>
      <c r="G73" s="399" t="inlineStr">
        <is>
          <t>Uzbekistan</t>
        </is>
      </c>
      <c r="H73" s="272">
        <f>IF(AND(ISNUMBER(E73),ISNUMBER(F73)),"Final","Scheduled")</f>
        <v/>
      </c>
      <c r="I73" s="272">
        <f>IF(H73&lt;&gt;"Final","",IF(E73&gt;F73,D73,IF(F73&gt;E73,G73,"Draw")))</f>
        <v/>
      </c>
      <c r="J73" s="267" t="inlineStr">
        <is>
          <t>https://www.espn.com/soccer/story/_/id/48939282/2026-fifa-world-cup-fixtures-results-match-schedule-group-stage-knockout-rounds-bracket</t>
        </is>
      </c>
      <c r="K73" t="inlineStr">
        <is>
          <t>Atlanta Stadium</t>
        </is>
      </c>
      <c r="L73" t="inlineStr">
        <is>
          <t>20260627</t>
        </is>
      </c>
    </row>
    <row r="74" ht="21" customHeight="1" s="28">
      <c r="A74" t="inlineStr">
        <is>
          <t>M071</t>
        </is>
      </c>
      <c r="B74" t="inlineStr">
        <is>
          <t>2026-06-27</t>
        </is>
      </c>
      <c r="C74" t="inlineStr">
        <is>
          <t>J</t>
        </is>
      </c>
      <c r="D74" s="399" t="inlineStr">
        <is>
          <t>Algeria</t>
        </is>
      </c>
      <c r="E74" s="270" t="n"/>
      <c r="F74" s="270" t="n"/>
      <c r="G74" s="399" t="inlineStr">
        <is>
          <t>Austria</t>
        </is>
      </c>
      <c r="H74" s="272">
        <f>IF(AND(ISNUMBER(E74),ISNUMBER(F74)),"Final","Scheduled")</f>
        <v/>
      </c>
      <c r="I74" s="272">
        <f>IF(H74&lt;&gt;"Final","",IF(E74&gt;F74,D74,IF(F74&gt;E74,G74,"Draw")))</f>
        <v/>
      </c>
      <c r="J74" s="267" t="inlineStr">
        <is>
          <t>https://www.espn.com/soccer/story/_/id/48939282/2026-fifa-world-cup-fixtures-results-match-schedule-group-stage-knockout-rounds-bracket</t>
        </is>
      </c>
      <c r="K74" t="inlineStr">
        <is>
          <t>Kansas City Stadium</t>
        </is>
      </c>
      <c r="L74" t="inlineStr">
        <is>
          <t>20260627</t>
        </is>
      </c>
    </row>
    <row r="75" ht="21" customHeight="1" s="28">
      <c r="A75" t="inlineStr">
        <is>
          <t>M072</t>
        </is>
      </c>
      <c r="B75" t="inlineStr">
        <is>
          <t>2026-06-27</t>
        </is>
      </c>
      <c r="C75" t="inlineStr">
        <is>
          <t>J</t>
        </is>
      </c>
      <c r="D75" s="399" t="inlineStr">
        <is>
          <t>Jordan</t>
        </is>
      </c>
      <c r="E75" s="270" t="n"/>
      <c r="F75" s="270" t="n"/>
      <c r="G75" s="399" t="inlineStr">
        <is>
          <t>Argentina</t>
        </is>
      </c>
      <c r="H75" s="272">
        <f>IF(AND(ISNUMBER(E75),ISNUMBER(F75)),"Final","Scheduled")</f>
        <v/>
      </c>
      <c r="I75" s="272">
        <f>IF(H75&lt;&gt;"Final","",IF(E75&gt;F75,D75,IF(F75&gt;E75,G75,"Draw")))</f>
        <v/>
      </c>
      <c r="J75" s="267" t="inlineStr">
        <is>
          <t>https://www.espn.com/soccer/story/_/id/48939282/2026-fifa-world-cup-fixtures-results-match-schedule-group-stage-knockout-rounds-bracket</t>
        </is>
      </c>
      <c r="K75" t="inlineStr">
        <is>
          <t>Dallas Stadium</t>
        </is>
      </c>
      <c r="L75" t="inlineStr">
        <is>
          <t>20260627</t>
        </is>
      </c>
    </row>
  </sheetData>
  <mergeCells count="1">
    <mergeCell ref="A1:L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96"/>
  <sheetViews>
    <sheetView workbookViewId="0">
      <selection activeCell="A1" sqref="A1"/>
    </sheetView>
  </sheetViews>
  <sheetFormatPr baseColWidth="8" defaultRowHeight="15"/>
  <cols>
    <col width="10" customWidth="1" style="28" min="1" max="1"/>
    <col width="10" customWidth="1" style="28" min="2" max="2"/>
    <col width="10" customWidth="1" style="28" min="3" max="3"/>
    <col width="10" customWidth="1" style="28" min="4" max="4"/>
    <col width="10" customWidth="1" style="28" min="5" max="5"/>
    <col width="10" customWidth="1" style="28" min="6" max="6"/>
    <col width="10" customWidth="1" style="28" min="7" max="7"/>
    <col width="10" customWidth="1" style="28" min="8" max="8"/>
    <col width="10" customWidth="1" style="28" min="9" max="9"/>
    <col width="10" customWidth="1" style="28" min="10" max="10"/>
  </cols>
  <sheetData>
    <row r="1">
      <c r="A1" s="264" t="inlineStr">
        <is>
          <t>Option</t>
        </is>
      </c>
      <c r="B1" s="264" t="inlineStr">
        <is>
          <t>1A</t>
        </is>
      </c>
      <c r="C1" s="264" t="inlineStr">
        <is>
          <t>1B</t>
        </is>
      </c>
      <c r="D1" s="264" t="inlineStr">
        <is>
          <t>1D</t>
        </is>
      </c>
      <c r="E1" s="264" t="inlineStr">
        <is>
          <t>1E</t>
        </is>
      </c>
      <c r="F1" s="264" t="inlineStr">
        <is>
          <t>1G</t>
        </is>
      </c>
      <c r="G1" s="264" t="inlineStr">
        <is>
          <t>1I</t>
        </is>
      </c>
      <c r="H1" s="264" t="inlineStr">
        <is>
          <t>1K</t>
        </is>
      </c>
      <c r="I1" s="264" t="inlineStr">
        <is>
          <t>1L</t>
        </is>
      </c>
      <c r="J1" s="264" t="inlineStr">
        <is>
          <t>Combo</t>
        </is>
      </c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</row>
    <row r="2">
      <c r="A2" t="n">
        <v>1</v>
      </c>
      <c r="B2" t="inlineStr">
        <is>
          <t>3E</t>
        </is>
      </c>
      <c r="C2" t="inlineStr">
        <is>
          <t>3J</t>
        </is>
      </c>
      <c r="D2" t="inlineStr">
        <is>
          <t>3I</t>
        </is>
      </c>
      <c r="E2" t="inlineStr">
        <is>
          <t>3F</t>
        </is>
      </c>
      <c r="F2" t="inlineStr">
        <is>
          <t>3H</t>
        </is>
      </c>
      <c r="G2" t="inlineStr">
        <is>
          <t>3G</t>
        </is>
      </c>
      <c r="H2" t="inlineStr">
        <is>
          <t>3L</t>
        </is>
      </c>
      <c r="I2" t="inlineStr">
        <is>
          <t>3K</t>
        </is>
      </c>
      <c r="J2" t="inlineStr">
        <is>
          <t>EFGHIJKL</t>
        </is>
      </c>
    </row>
    <row r="3">
      <c r="A3" t="n">
        <v>2</v>
      </c>
      <c r="B3" t="inlineStr">
        <is>
          <t>3H</t>
        </is>
      </c>
      <c r="C3" t="inlineStr">
        <is>
          <t>3G</t>
        </is>
      </c>
      <c r="D3" t="inlineStr">
        <is>
          <t>3I</t>
        </is>
      </c>
      <c r="E3" t="inlineStr">
        <is>
          <t>3D</t>
        </is>
      </c>
      <c r="F3" t="inlineStr">
        <is>
          <t>3J</t>
        </is>
      </c>
      <c r="G3" t="inlineStr">
        <is>
          <t>3F</t>
        </is>
      </c>
      <c r="H3" t="inlineStr">
        <is>
          <t>3L</t>
        </is>
      </c>
      <c r="I3" t="inlineStr">
        <is>
          <t>3K</t>
        </is>
      </c>
      <c r="J3" t="inlineStr">
        <is>
          <t>DFGHIJKL</t>
        </is>
      </c>
    </row>
    <row r="4">
      <c r="A4" t="n">
        <v>3</v>
      </c>
      <c r="B4" t="inlineStr">
        <is>
          <t>3E</t>
        </is>
      </c>
      <c r="C4" t="inlineStr">
        <is>
          <t>3J</t>
        </is>
      </c>
      <c r="D4" t="inlineStr">
        <is>
          <t>3I</t>
        </is>
      </c>
      <c r="E4" t="inlineStr">
        <is>
          <t>3D</t>
        </is>
      </c>
      <c r="F4" t="inlineStr">
        <is>
          <t>3H</t>
        </is>
      </c>
      <c r="G4" t="inlineStr">
        <is>
          <t>3G</t>
        </is>
      </c>
      <c r="H4" t="inlineStr">
        <is>
          <t>3L</t>
        </is>
      </c>
      <c r="I4" t="inlineStr">
        <is>
          <t>3K</t>
        </is>
      </c>
      <c r="J4" t="inlineStr">
        <is>
          <t>DEGHIJKL</t>
        </is>
      </c>
    </row>
    <row r="5">
      <c r="A5" t="n">
        <v>4</v>
      </c>
      <c r="B5" t="inlineStr">
        <is>
          <t>3E</t>
        </is>
      </c>
      <c r="C5" t="inlineStr">
        <is>
          <t>3J</t>
        </is>
      </c>
      <c r="D5" t="inlineStr">
        <is>
          <t>3I</t>
        </is>
      </c>
      <c r="E5" t="inlineStr">
        <is>
          <t>3D</t>
        </is>
      </c>
      <c r="F5" t="inlineStr">
        <is>
          <t>3H</t>
        </is>
      </c>
      <c r="G5" t="inlineStr">
        <is>
          <t>3F</t>
        </is>
      </c>
      <c r="H5" t="inlineStr">
        <is>
          <t>3L</t>
        </is>
      </c>
      <c r="I5" t="inlineStr">
        <is>
          <t>3K</t>
        </is>
      </c>
      <c r="J5" t="inlineStr">
        <is>
          <t>DEFHIJKL</t>
        </is>
      </c>
    </row>
    <row r="6">
      <c r="A6" t="n">
        <v>5</v>
      </c>
      <c r="B6" t="inlineStr">
        <is>
          <t>3E</t>
        </is>
      </c>
      <c r="C6" t="inlineStr">
        <is>
          <t>3G</t>
        </is>
      </c>
      <c r="D6" t="inlineStr">
        <is>
          <t>3I</t>
        </is>
      </c>
      <c r="E6" t="inlineStr">
        <is>
          <t>3D</t>
        </is>
      </c>
      <c r="F6" t="inlineStr">
        <is>
          <t>3J</t>
        </is>
      </c>
      <c r="G6" t="inlineStr">
        <is>
          <t>3F</t>
        </is>
      </c>
      <c r="H6" t="inlineStr">
        <is>
          <t>3L</t>
        </is>
      </c>
      <c r="I6" t="inlineStr">
        <is>
          <t>3K</t>
        </is>
      </c>
      <c r="J6" t="inlineStr">
        <is>
          <t>DEFGIJKL</t>
        </is>
      </c>
    </row>
    <row r="7">
      <c r="A7" t="n">
        <v>6</v>
      </c>
      <c r="B7" t="inlineStr">
        <is>
          <t>3E</t>
        </is>
      </c>
      <c r="C7" t="inlineStr">
        <is>
          <t>3G</t>
        </is>
      </c>
      <c r="D7" t="inlineStr">
        <is>
          <t>3J</t>
        </is>
      </c>
      <c r="E7" t="inlineStr">
        <is>
          <t>3D</t>
        </is>
      </c>
      <c r="F7" t="inlineStr">
        <is>
          <t>3H</t>
        </is>
      </c>
      <c r="G7" t="inlineStr">
        <is>
          <t>3F</t>
        </is>
      </c>
      <c r="H7" t="inlineStr">
        <is>
          <t>3L</t>
        </is>
      </c>
      <c r="I7" t="inlineStr">
        <is>
          <t>3K</t>
        </is>
      </c>
      <c r="J7" t="inlineStr">
        <is>
          <t>DEFGHJKL</t>
        </is>
      </c>
    </row>
    <row r="8">
      <c r="A8" t="n">
        <v>7</v>
      </c>
      <c r="B8" t="inlineStr">
        <is>
          <t>3E</t>
        </is>
      </c>
      <c r="C8" t="inlineStr">
        <is>
          <t>3G</t>
        </is>
      </c>
      <c r="D8" t="inlineStr">
        <is>
          <t>3I</t>
        </is>
      </c>
      <c r="E8" t="inlineStr">
        <is>
          <t>3D</t>
        </is>
      </c>
      <c r="F8" t="inlineStr">
        <is>
          <t>3H</t>
        </is>
      </c>
      <c r="G8" t="inlineStr">
        <is>
          <t>3F</t>
        </is>
      </c>
      <c r="H8" t="inlineStr">
        <is>
          <t>3L</t>
        </is>
      </c>
      <c r="I8" t="inlineStr">
        <is>
          <t>3K</t>
        </is>
      </c>
      <c r="J8" t="inlineStr">
        <is>
          <t>DEFGHIKL</t>
        </is>
      </c>
    </row>
    <row r="9">
      <c r="A9" t="n">
        <v>8</v>
      </c>
      <c r="B9" t="inlineStr">
        <is>
          <t>3E</t>
        </is>
      </c>
      <c r="C9" t="inlineStr">
        <is>
          <t>3G</t>
        </is>
      </c>
      <c r="D9" t="inlineStr">
        <is>
          <t>3J</t>
        </is>
      </c>
      <c r="E9" t="inlineStr">
        <is>
          <t>3D</t>
        </is>
      </c>
      <c r="F9" t="inlineStr">
        <is>
          <t>3H</t>
        </is>
      </c>
      <c r="G9" t="inlineStr">
        <is>
          <t>3F</t>
        </is>
      </c>
      <c r="H9" t="inlineStr">
        <is>
          <t>3L</t>
        </is>
      </c>
      <c r="I9" t="inlineStr">
        <is>
          <t>3I</t>
        </is>
      </c>
      <c r="J9" t="inlineStr">
        <is>
          <t>DEFGHIJL</t>
        </is>
      </c>
    </row>
    <row r="10">
      <c r="A10" t="n">
        <v>9</v>
      </c>
      <c r="B10" t="inlineStr">
        <is>
          <t>3E</t>
        </is>
      </c>
      <c r="C10" t="inlineStr">
        <is>
          <t>3G</t>
        </is>
      </c>
      <c r="D10" t="inlineStr">
        <is>
          <t>3J</t>
        </is>
      </c>
      <c r="E10" t="inlineStr">
        <is>
          <t>3D</t>
        </is>
      </c>
      <c r="F10" t="inlineStr">
        <is>
          <t>3H</t>
        </is>
      </c>
      <c r="G10" t="inlineStr">
        <is>
          <t>3F</t>
        </is>
      </c>
      <c r="H10" t="inlineStr">
        <is>
          <t>3I</t>
        </is>
      </c>
      <c r="I10" t="inlineStr">
        <is>
          <t>3K</t>
        </is>
      </c>
      <c r="J10" t="inlineStr">
        <is>
          <t>DEFGHIJK</t>
        </is>
      </c>
    </row>
    <row r="11">
      <c r="A11" t="n">
        <v>10</v>
      </c>
      <c r="B11" t="inlineStr">
        <is>
          <t>3H</t>
        </is>
      </c>
      <c r="C11" t="inlineStr">
        <is>
          <t>3G</t>
        </is>
      </c>
      <c r="D11" t="inlineStr">
        <is>
          <t>3I</t>
        </is>
      </c>
      <c r="E11" t="inlineStr">
        <is>
          <t>3C</t>
        </is>
      </c>
      <c r="F11" t="inlineStr">
        <is>
          <t>3J</t>
        </is>
      </c>
      <c r="G11" t="inlineStr">
        <is>
          <t>3F</t>
        </is>
      </c>
      <c r="H11" t="inlineStr">
        <is>
          <t>3L</t>
        </is>
      </c>
      <c r="I11" t="inlineStr">
        <is>
          <t>3K</t>
        </is>
      </c>
      <c r="J11" t="inlineStr">
        <is>
          <t>CFGHIJKL</t>
        </is>
      </c>
    </row>
    <row r="12">
      <c r="A12" t="n">
        <v>11</v>
      </c>
      <c r="B12" t="inlineStr">
        <is>
          <t>3E</t>
        </is>
      </c>
      <c r="C12" t="inlineStr">
        <is>
          <t>3J</t>
        </is>
      </c>
      <c r="D12" t="inlineStr">
        <is>
          <t>3I</t>
        </is>
      </c>
      <c r="E12" t="inlineStr">
        <is>
          <t>3C</t>
        </is>
      </c>
      <c r="F12" t="inlineStr">
        <is>
          <t>3H</t>
        </is>
      </c>
      <c r="G12" t="inlineStr">
        <is>
          <t>3G</t>
        </is>
      </c>
      <c r="H12" t="inlineStr">
        <is>
          <t>3L</t>
        </is>
      </c>
      <c r="I12" t="inlineStr">
        <is>
          <t>3K</t>
        </is>
      </c>
      <c r="J12" t="inlineStr">
        <is>
          <t>CEGHIJKL</t>
        </is>
      </c>
    </row>
    <row r="13">
      <c r="A13" t="n">
        <v>12</v>
      </c>
      <c r="B13" t="inlineStr">
        <is>
          <t>3E</t>
        </is>
      </c>
      <c r="C13" t="inlineStr">
        <is>
          <t>3J</t>
        </is>
      </c>
      <c r="D13" t="inlineStr">
        <is>
          <t>3I</t>
        </is>
      </c>
      <c r="E13" t="inlineStr">
        <is>
          <t>3C</t>
        </is>
      </c>
      <c r="F13" t="inlineStr">
        <is>
          <t>3H</t>
        </is>
      </c>
      <c r="G13" t="inlineStr">
        <is>
          <t>3F</t>
        </is>
      </c>
      <c r="H13" t="inlineStr">
        <is>
          <t>3L</t>
        </is>
      </c>
      <c r="I13" t="inlineStr">
        <is>
          <t>3K</t>
        </is>
      </c>
      <c r="J13" t="inlineStr">
        <is>
          <t>CEFHIJKL</t>
        </is>
      </c>
    </row>
    <row r="14">
      <c r="A14" t="n">
        <v>13</v>
      </c>
      <c r="B14" t="inlineStr">
        <is>
          <t>3E</t>
        </is>
      </c>
      <c r="C14" t="inlineStr">
        <is>
          <t>3G</t>
        </is>
      </c>
      <c r="D14" t="inlineStr">
        <is>
          <t>3I</t>
        </is>
      </c>
      <c r="E14" t="inlineStr">
        <is>
          <t>3C</t>
        </is>
      </c>
      <c r="F14" t="inlineStr">
        <is>
          <t>3J</t>
        </is>
      </c>
      <c r="G14" t="inlineStr">
        <is>
          <t>3F</t>
        </is>
      </c>
      <c r="H14" t="inlineStr">
        <is>
          <t>3L</t>
        </is>
      </c>
      <c r="I14" t="inlineStr">
        <is>
          <t>3K</t>
        </is>
      </c>
      <c r="J14" t="inlineStr">
        <is>
          <t>CEFGIJKL</t>
        </is>
      </c>
    </row>
    <row r="15">
      <c r="A15" t="n">
        <v>14</v>
      </c>
      <c r="B15" t="inlineStr">
        <is>
          <t>3E</t>
        </is>
      </c>
      <c r="C15" t="inlineStr">
        <is>
          <t>3G</t>
        </is>
      </c>
      <c r="D15" t="inlineStr">
        <is>
          <t>3J</t>
        </is>
      </c>
      <c r="E15" t="inlineStr">
        <is>
          <t>3C</t>
        </is>
      </c>
      <c r="F15" t="inlineStr">
        <is>
          <t>3H</t>
        </is>
      </c>
      <c r="G15" t="inlineStr">
        <is>
          <t>3F</t>
        </is>
      </c>
      <c r="H15" t="inlineStr">
        <is>
          <t>3L</t>
        </is>
      </c>
      <c r="I15" t="inlineStr">
        <is>
          <t>3K</t>
        </is>
      </c>
      <c r="J15" t="inlineStr">
        <is>
          <t>CEFGHJKL</t>
        </is>
      </c>
    </row>
    <row r="16">
      <c r="A16" t="n">
        <v>15</v>
      </c>
      <c r="B16" t="inlineStr">
        <is>
          <t>3E</t>
        </is>
      </c>
      <c r="C16" t="inlineStr">
        <is>
          <t>3G</t>
        </is>
      </c>
      <c r="D16" t="inlineStr">
        <is>
          <t>3I</t>
        </is>
      </c>
      <c r="E16" t="inlineStr">
        <is>
          <t>3C</t>
        </is>
      </c>
      <c r="F16" t="inlineStr">
        <is>
          <t>3H</t>
        </is>
      </c>
      <c r="G16" t="inlineStr">
        <is>
          <t>3F</t>
        </is>
      </c>
      <c r="H16" t="inlineStr">
        <is>
          <t>3L</t>
        </is>
      </c>
      <c r="I16" t="inlineStr">
        <is>
          <t>3K</t>
        </is>
      </c>
      <c r="J16" t="inlineStr">
        <is>
          <t>CEFGHIKL</t>
        </is>
      </c>
    </row>
    <row r="17">
      <c r="A17" t="n">
        <v>16</v>
      </c>
      <c r="B17" t="inlineStr">
        <is>
          <t>3E</t>
        </is>
      </c>
      <c r="C17" t="inlineStr">
        <is>
          <t>3G</t>
        </is>
      </c>
      <c r="D17" t="inlineStr">
        <is>
          <t>3J</t>
        </is>
      </c>
      <c r="E17" t="inlineStr">
        <is>
          <t>3C</t>
        </is>
      </c>
      <c r="F17" t="inlineStr">
        <is>
          <t>3H</t>
        </is>
      </c>
      <c r="G17" t="inlineStr">
        <is>
          <t>3F</t>
        </is>
      </c>
      <c r="H17" t="inlineStr">
        <is>
          <t>3L</t>
        </is>
      </c>
      <c r="I17" t="inlineStr">
        <is>
          <t>3I</t>
        </is>
      </c>
      <c r="J17" t="inlineStr">
        <is>
          <t>CEFGHIJL</t>
        </is>
      </c>
    </row>
    <row r="18">
      <c r="A18" t="n">
        <v>17</v>
      </c>
      <c r="B18" t="inlineStr">
        <is>
          <t>3E</t>
        </is>
      </c>
      <c r="C18" t="inlineStr">
        <is>
          <t>3G</t>
        </is>
      </c>
      <c r="D18" t="inlineStr">
        <is>
          <t>3J</t>
        </is>
      </c>
      <c r="E18" t="inlineStr">
        <is>
          <t>3C</t>
        </is>
      </c>
      <c r="F18" t="inlineStr">
        <is>
          <t>3H</t>
        </is>
      </c>
      <c r="G18" t="inlineStr">
        <is>
          <t>3F</t>
        </is>
      </c>
      <c r="H18" t="inlineStr">
        <is>
          <t>3I</t>
        </is>
      </c>
      <c r="I18" t="inlineStr">
        <is>
          <t>3K</t>
        </is>
      </c>
      <c r="J18" t="inlineStr">
        <is>
          <t>CEFGHIJK</t>
        </is>
      </c>
    </row>
    <row r="19">
      <c r="A19" t="n">
        <v>18</v>
      </c>
      <c r="B19" t="inlineStr">
        <is>
          <t>3H</t>
        </is>
      </c>
      <c r="C19" t="inlineStr">
        <is>
          <t>3G</t>
        </is>
      </c>
      <c r="D19" t="inlineStr">
        <is>
          <t>3I</t>
        </is>
      </c>
      <c r="E19" t="inlineStr">
        <is>
          <t>3C</t>
        </is>
      </c>
      <c r="F19" t="inlineStr">
        <is>
          <t>3J</t>
        </is>
      </c>
      <c r="G19" t="inlineStr">
        <is>
          <t>3D</t>
        </is>
      </c>
      <c r="H19" t="inlineStr">
        <is>
          <t>3L</t>
        </is>
      </c>
      <c r="I19" t="inlineStr">
        <is>
          <t>3K</t>
        </is>
      </c>
      <c r="J19" t="inlineStr">
        <is>
          <t>CDGHIJKL</t>
        </is>
      </c>
    </row>
    <row r="20">
      <c r="A20" t="n">
        <v>19</v>
      </c>
      <c r="B20" t="inlineStr">
        <is>
          <t>3C</t>
        </is>
      </c>
      <c r="C20" t="inlineStr">
        <is>
          <t>3J</t>
        </is>
      </c>
      <c r="D20" t="inlineStr">
        <is>
          <t>3I</t>
        </is>
      </c>
      <c r="E20" t="inlineStr">
        <is>
          <t>3D</t>
        </is>
      </c>
      <c r="F20" t="inlineStr">
        <is>
          <t>3H</t>
        </is>
      </c>
      <c r="G20" t="inlineStr">
        <is>
          <t>3F</t>
        </is>
      </c>
      <c r="H20" t="inlineStr">
        <is>
          <t>3L</t>
        </is>
      </c>
      <c r="I20" t="inlineStr">
        <is>
          <t>3K</t>
        </is>
      </c>
      <c r="J20" t="inlineStr">
        <is>
          <t>CDFHIJKL</t>
        </is>
      </c>
    </row>
    <row r="21">
      <c r="A21" t="n">
        <v>20</v>
      </c>
      <c r="B21" t="inlineStr">
        <is>
          <t>3C</t>
        </is>
      </c>
      <c r="C21" t="inlineStr">
        <is>
          <t>3G</t>
        </is>
      </c>
      <c r="D21" t="inlineStr">
        <is>
          <t>3I</t>
        </is>
      </c>
      <c r="E21" t="inlineStr">
        <is>
          <t>3D</t>
        </is>
      </c>
      <c r="F21" t="inlineStr">
        <is>
          <t>3J</t>
        </is>
      </c>
      <c r="G21" t="inlineStr">
        <is>
          <t>3F</t>
        </is>
      </c>
      <c r="H21" t="inlineStr">
        <is>
          <t>3L</t>
        </is>
      </c>
      <c r="I21" t="inlineStr">
        <is>
          <t>3K</t>
        </is>
      </c>
      <c r="J21" t="inlineStr">
        <is>
          <t>CDFGIJKL</t>
        </is>
      </c>
    </row>
    <row r="22">
      <c r="A22" t="n">
        <v>21</v>
      </c>
      <c r="B22" t="inlineStr">
        <is>
          <t>3C</t>
        </is>
      </c>
      <c r="C22" t="inlineStr">
        <is>
          <t>3G</t>
        </is>
      </c>
      <c r="D22" t="inlineStr">
        <is>
          <t>3J</t>
        </is>
      </c>
      <c r="E22" t="inlineStr">
        <is>
          <t>3D</t>
        </is>
      </c>
      <c r="F22" t="inlineStr">
        <is>
          <t>3H</t>
        </is>
      </c>
      <c r="G22" t="inlineStr">
        <is>
          <t>3F</t>
        </is>
      </c>
      <c r="H22" t="inlineStr">
        <is>
          <t>3L</t>
        </is>
      </c>
      <c r="I22" t="inlineStr">
        <is>
          <t>3K</t>
        </is>
      </c>
      <c r="J22" t="inlineStr">
        <is>
          <t>CDFGHJKL</t>
        </is>
      </c>
    </row>
    <row r="23">
      <c r="A23" t="n">
        <v>22</v>
      </c>
      <c r="B23" t="inlineStr">
        <is>
          <t>3C</t>
        </is>
      </c>
      <c r="C23" t="inlineStr">
        <is>
          <t>3G</t>
        </is>
      </c>
      <c r="D23" t="inlineStr">
        <is>
          <t>3I</t>
        </is>
      </c>
      <c r="E23" t="inlineStr">
        <is>
          <t>3D</t>
        </is>
      </c>
      <c r="F23" t="inlineStr">
        <is>
          <t>3H</t>
        </is>
      </c>
      <c r="G23" t="inlineStr">
        <is>
          <t>3F</t>
        </is>
      </c>
      <c r="H23" t="inlineStr">
        <is>
          <t>3L</t>
        </is>
      </c>
      <c r="I23" t="inlineStr">
        <is>
          <t>3K</t>
        </is>
      </c>
      <c r="J23" t="inlineStr">
        <is>
          <t>CDFGHIKL</t>
        </is>
      </c>
    </row>
    <row r="24">
      <c r="A24" t="n">
        <v>23</v>
      </c>
      <c r="B24" t="inlineStr">
        <is>
          <t>3C</t>
        </is>
      </c>
      <c r="C24" t="inlineStr">
        <is>
          <t>3G</t>
        </is>
      </c>
      <c r="D24" t="inlineStr">
        <is>
          <t>3J</t>
        </is>
      </c>
      <c r="E24" t="inlineStr">
        <is>
          <t>3D</t>
        </is>
      </c>
      <c r="F24" t="inlineStr">
        <is>
          <t>3H</t>
        </is>
      </c>
      <c r="G24" t="inlineStr">
        <is>
          <t>3F</t>
        </is>
      </c>
      <c r="H24" t="inlineStr">
        <is>
          <t>3L</t>
        </is>
      </c>
      <c r="I24" t="inlineStr">
        <is>
          <t>3I</t>
        </is>
      </c>
      <c r="J24" t="inlineStr">
        <is>
          <t>CDFGHIJL</t>
        </is>
      </c>
    </row>
    <row r="25">
      <c r="A25" t="n">
        <v>24</v>
      </c>
      <c r="B25" t="inlineStr">
        <is>
          <t>3C</t>
        </is>
      </c>
      <c r="C25" t="inlineStr">
        <is>
          <t>3G</t>
        </is>
      </c>
      <c r="D25" t="inlineStr">
        <is>
          <t>3J</t>
        </is>
      </c>
      <c r="E25" t="inlineStr">
        <is>
          <t>3D</t>
        </is>
      </c>
      <c r="F25" t="inlineStr">
        <is>
          <t>3H</t>
        </is>
      </c>
      <c r="G25" t="inlineStr">
        <is>
          <t>3F</t>
        </is>
      </c>
      <c r="H25" t="inlineStr">
        <is>
          <t>3I</t>
        </is>
      </c>
      <c r="I25" t="inlineStr">
        <is>
          <t>3K</t>
        </is>
      </c>
      <c r="J25" t="inlineStr">
        <is>
          <t>CDFGHIJK</t>
        </is>
      </c>
    </row>
    <row r="26">
      <c r="A26" t="n">
        <v>25</v>
      </c>
      <c r="B26" t="inlineStr">
        <is>
          <t>3E</t>
        </is>
      </c>
      <c r="C26" t="inlineStr">
        <is>
          <t>3J</t>
        </is>
      </c>
      <c r="D26" t="inlineStr">
        <is>
          <t>3I</t>
        </is>
      </c>
      <c r="E26" t="inlineStr">
        <is>
          <t>3C</t>
        </is>
      </c>
      <c r="F26" t="inlineStr">
        <is>
          <t>3H</t>
        </is>
      </c>
      <c r="G26" t="inlineStr">
        <is>
          <t>3D</t>
        </is>
      </c>
      <c r="H26" t="inlineStr">
        <is>
          <t>3L</t>
        </is>
      </c>
      <c r="I26" t="inlineStr">
        <is>
          <t>3K</t>
        </is>
      </c>
      <c r="J26" t="inlineStr">
        <is>
          <t>CDEHIJKL</t>
        </is>
      </c>
    </row>
    <row r="27">
      <c r="A27" t="n">
        <v>26</v>
      </c>
      <c r="B27" t="inlineStr">
        <is>
          <t>3E</t>
        </is>
      </c>
      <c r="C27" t="inlineStr">
        <is>
          <t>3G</t>
        </is>
      </c>
      <c r="D27" t="inlineStr">
        <is>
          <t>3I</t>
        </is>
      </c>
      <c r="E27" t="inlineStr">
        <is>
          <t>3C</t>
        </is>
      </c>
      <c r="F27" t="inlineStr">
        <is>
          <t>3J</t>
        </is>
      </c>
      <c r="G27" t="inlineStr">
        <is>
          <t>3D</t>
        </is>
      </c>
      <c r="H27" t="inlineStr">
        <is>
          <t>3L</t>
        </is>
      </c>
      <c r="I27" t="inlineStr">
        <is>
          <t>3K</t>
        </is>
      </c>
      <c r="J27" t="inlineStr">
        <is>
          <t>CDEGIJKL</t>
        </is>
      </c>
    </row>
    <row r="28">
      <c r="A28" t="n">
        <v>27</v>
      </c>
      <c r="B28" t="inlineStr">
        <is>
          <t>3E</t>
        </is>
      </c>
      <c r="C28" t="inlineStr">
        <is>
          <t>3G</t>
        </is>
      </c>
      <c r="D28" t="inlineStr">
        <is>
          <t>3J</t>
        </is>
      </c>
      <c r="E28" t="inlineStr">
        <is>
          <t>3C</t>
        </is>
      </c>
      <c r="F28" t="inlineStr">
        <is>
          <t>3H</t>
        </is>
      </c>
      <c r="G28" t="inlineStr">
        <is>
          <t>3D</t>
        </is>
      </c>
      <c r="H28" t="inlineStr">
        <is>
          <t>3L</t>
        </is>
      </c>
      <c r="I28" t="inlineStr">
        <is>
          <t>3K</t>
        </is>
      </c>
      <c r="J28" t="inlineStr">
        <is>
          <t>CDEGHJKL</t>
        </is>
      </c>
    </row>
    <row r="29">
      <c r="A29" t="n">
        <v>28</v>
      </c>
      <c r="B29" t="inlineStr">
        <is>
          <t>3E</t>
        </is>
      </c>
      <c r="C29" t="inlineStr">
        <is>
          <t>3G</t>
        </is>
      </c>
      <c r="D29" t="inlineStr">
        <is>
          <t>3I</t>
        </is>
      </c>
      <c r="E29" t="inlineStr">
        <is>
          <t>3C</t>
        </is>
      </c>
      <c r="F29" t="inlineStr">
        <is>
          <t>3H</t>
        </is>
      </c>
      <c r="G29" t="inlineStr">
        <is>
          <t>3D</t>
        </is>
      </c>
      <c r="H29" t="inlineStr">
        <is>
          <t>3L</t>
        </is>
      </c>
      <c r="I29" t="inlineStr">
        <is>
          <t>3K</t>
        </is>
      </c>
      <c r="J29" t="inlineStr">
        <is>
          <t>CDEGHIKL</t>
        </is>
      </c>
    </row>
    <row r="30">
      <c r="A30" t="n">
        <v>29</v>
      </c>
      <c r="B30" t="inlineStr">
        <is>
          <t>3E</t>
        </is>
      </c>
      <c r="C30" t="inlineStr">
        <is>
          <t>3G</t>
        </is>
      </c>
      <c r="D30" t="inlineStr">
        <is>
          <t>3J</t>
        </is>
      </c>
      <c r="E30" t="inlineStr">
        <is>
          <t>3C</t>
        </is>
      </c>
      <c r="F30" t="inlineStr">
        <is>
          <t>3H</t>
        </is>
      </c>
      <c r="G30" t="inlineStr">
        <is>
          <t>3D</t>
        </is>
      </c>
      <c r="H30" t="inlineStr">
        <is>
          <t>3L</t>
        </is>
      </c>
      <c r="I30" t="inlineStr">
        <is>
          <t>3I</t>
        </is>
      </c>
      <c r="J30" t="inlineStr">
        <is>
          <t>CDEGHIJL</t>
        </is>
      </c>
    </row>
    <row r="31">
      <c r="A31" t="n">
        <v>30</v>
      </c>
      <c r="B31" t="inlineStr">
        <is>
          <t>3E</t>
        </is>
      </c>
      <c r="C31" t="inlineStr">
        <is>
          <t>3G</t>
        </is>
      </c>
      <c r="D31" t="inlineStr">
        <is>
          <t>3J</t>
        </is>
      </c>
      <c r="E31" t="inlineStr">
        <is>
          <t>3C</t>
        </is>
      </c>
      <c r="F31" t="inlineStr">
        <is>
          <t>3H</t>
        </is>
      </c>
      <c r="G31" t="inlineStr">
        <is>
          <t>3D</t>
        </is>
      </c>
      <c r="H31" t="inlineStr">
        <is>
          <t>3I</t>
        </is>
      </c>
      <c r="I31" t="inlineStr">
        <is>
          <t>3K</t>
        </is>
      </c>
      <c r="J31" t="inlineStr">
        <is>
          <t>CDEGHIJK</t>
        </is>
      </c>
    </row>
    <row r="32">
      <c r="A32" t="n">
        <v>31</v>
      </c>
      <c r="B32" t="inlineStr">
        <is>
          <t>3C</t>
        </is>
      </c>
      <c r="C32" t="inlineStr">
        <is>
          <t>3J</t>
        </is>
      </c>
      <c r="D32" t="inlineStr">
        <is>
          <t>3E</t>
        </is>
      </c>
      <c r="E32" t="inlineStr">
        <is>
          <t>3D</t>
        </is>
      </c>
      <c r="F32" t="inlineStr">
        <is>
          <t>3I</t>
        </is>
      </c>
      <c r="G32" t="inlineStr">
        <is>
          <t>3F</t>
        </is>
      </c>
      <c r="H32" t="inlineStr">
        <is>
          <t>3L</t>
        </is>
      </c>
      <c r="I32" t="inlineStr">
        <is>
          <t>3K</t>
        </is>
      </c>
      <c r="J32" t="inlineStr">
        <is>
          <t>CDEFIJKL</t>
        </is>
      </c>
    </row>
    <row r="33">
      <c r="A33" t="n">
        <v>32</v>
      </c>
      <c r="B33" t="inlineStr">
        <is>
          <t>3C</t>
        </is>
      </c>
      <c r="C33" t="inlineStr">
        <is>
          <t>3J</t>
        </is>
      </c>
      <c r="D33" t="inlineStr">
        <is>
          <t>3E</t>
        </is>
      </c>
      <c r="E33" t="inlineStr">
        <is>
          <t>3D</t>
        </is>
      </c>
      <c r="F33" t="inlineStr">
        <is>
          <t>3H</t>
        </is>
      </c>
      <c r="G33" t="inlineStr">
        <is>
          <t>3F</t>
        </is>
      </c>
      <c r="H33" t="inlineStr">
        <is>
          <t>3L</t>
        </is>
      </c>
      <c r="I33" t="inlineStr">
        <is>
          <t>3K</t>
        </is>
      </c>
      <c r="J33" t="inlineStr">
        <is>
          <t>CDEFHJKL</t>
        </is>
      </c>
    </row>
    <row r="34">
      <c r="A34" t="n">
        <v>33</v>
      </c>
      <c r="B34" t="inlineStr">
        <is>
          <t>3C</t>
        </is>
      </c>
      <c r="C34" t="inlineStr">
        <is>
          <t>3E</t>
        </is>
      </c>
      <c r="D34" t="inlineStr">
        <is>
          <t>3I</t>
        </is>
      </c>
      <c r="E34" t="inlineStr">
        <is>
          <t>3D</t>
        </is>
      </c>
      <c r="F34" t="inlineStr">
        <is>
          <t>3H</t>
        </is>
      </c>
      <c r="G34" t="inlineStr">
        <is>
          <t>3F</t>
        </is>
      </c>
      <c r="H34" t="inlineStr">
        <is>
          <t>3L</t>
        </is>
      </c>
      <c r="I34" t="inlineStr">
        <is>
          <t>3K</t>
        </is>
      </c>
      <c r="J34" t="inlineStr">
        <is>
          <t>CDEFHIKL</t>
        </is>
      </c>
    </row>
    <row r="35">
      <c r="A35" t="n">
        <v>34</v>
      </c>
      <c r="B35" t="inlineStr">
        <is>
          <t>3C</t>
        </is>
      </c>
      <c r="C35" t="inlineStr">
        <is>
          <t>3J</t>
        </is>
      </c>
      <c r="D35" t="inlineStr">
        <is>
          <t>3E</t>
        </is>
      </c>
      <c r="E35" t="inlineStr">
        <is>
          <t>3D</t>
        </is>
      </c>
      <c r="F35" t="inlineStr">
        <is>
          <t>3H</t>
        </is>
      </c>
      <c r="G35" t="inlineStr">
        <is>
          <t>3F</t>
        </is>
      </c>
      <c r="H35" t="inlineStr">
        <is>
          <t>3L</t>
        </is>
      </c>
      <c r="I35" t="inlineStr">
        <is>
          <t>3I</t>
        </is>
      </c>
      <c r="J35" t="inlineStr">
        <is>
          <t>CDEFHIJL</t>
        </is>
      </c>
    </row>
    <row r="36">
      <c r="A36" t="n">
        <v>35</v>
      </c>
      <c r="B36" t="inlineStr">
        <is>
          <t>3C</t>
        </is>
      </c>
      <c r="C36" t="inlineStr">
        <is>
          <t>3J</t>
        </is>
      </c>
      <c r="D36" t="inlineStr">
        <is>
          <t>3E</t>
        </is>
      </c>
      <c r="E36" t="inlineStr">
        <is>
          <t>3D</t>
        </is>
      </c>
      <c r="F36" t="inlineStr">
        <is>
          <t>3H</t>
        </is>
      </c>
      <c r="G36" t="inlineStr">
        <is>
          <t>3F</t>
        </is>
      </c>
      <c r="H36" t="inlineStr">
        <is>
          <t>3I</t>
        </is>
      </c>
      <c r="I36" t="inlineStr">
        <is>
          <t>3K</t>
        </is>
      </c>
      <c r="J36" t="inlineStr">
        <is>
          <t>CDEFHIJK</t>
        </is>
      </c>
    </row>
    <row r="37">
      <c r="A37" t="n">
        <v>36</v>
      </c>
      <c r="B37" t="inlineStr">
        <is>
          <t>3C</t>
        </is>
      </c>
      <c r="C37" t="inlineStr">
        <is>
          <t>3G</t>
        </is>
      </c>
      <c r="D37" t="inlineStr">
        <is>
          <t>3E</t>
        </is>
      </c>
      <c r="E37" t="inlineStr">
        <is>
          <t>3D</t>
        </is>
      </c>
      <c r="F37" t="inlineStr">
        <is>
          <t>3J</t>
        </is>
      </c>
      <c r="G37" t="inlineStr">
        <is>
          <t>3F</t>
        </is>
      </c>
      <c r="H37" t="inlineStr">
        <is>
          <t>3L</t>
        </is>
      </c>
      <c r="I37" t="inlineStr">
        <is>
          <t>3K</t>
        </is>
      </c>
      <c r="J37" t="inlineStr">
        <is>
          <t>CDEFGJKL</t>
        </is>
      </c>
    </row>
    <row r="38">
      <c r="A38" t="n">
        <v>37</v>
      </c>
      <c r="B38" t="inlineStr">
        <is>
          <t>3C</t>
        </is>
      </c>
      <c r="C38" t="inlineStr">
        <is>
          <t>3G</t>
        </is>
      </c>
      <c r="D38" t="inlineStr">
        <is>
          <t>3E</t>
        </is>
      </c>
      <c r="E38" t="inlineStr">
        <is>
          <t>3D</t>
        </is>
      </c>
      <c r="F38" t="inlineStr">
        <is>
          <t>3I</t>
        </is>
      </c>
      <c r="G38" t="inlineStr">
        <is>
          <t>3F</t>
        </is>
      </c>
      <c r="H38" t="inlineStr">
        <is>
          <t>3L</t>
        </is>
      </c>
      <c r="I38" t="inlineStr">
        <is>
          <t>3K</t>
        </is>
      </c>
      <c r="J38" t="inlineStr">
        <is>
          <t>CDEFGIKL</t>
        </is>
      </c>
    </row>
    <row r="39">
      <c r="A39" t="n">
        <v>38</v>
      </c>
      <c r="B39" t="inlineStr">
        <is>
          <t>3C</t>
        </is>
      </c>
      <c r="C39" t="inlineStr">
        <is>
          <t>3G</t>
        </is>
      </c>
      <c r="D39" t="inlineStr">
        <is>
          <t>3E</t>
        </is>
      </c>
      <c r="E39" t="inlineStr">
        <is>
          <t>3D</t>
        </is>
      </c>
      <c r="F39" t="inlineStr">
        <is>
          <t>3J</t>
        </is>
      </c>
      <c r="G39" t="inlineStr">
        <is>
          <t>3F</t>
        </is>
      </c>
      <c r="H39" t="inlineStr">
        <is>
          <t>3L</t>
        </is>
      </c>
      <c r="I39" t="inlineStr">
        <is>
          <t>3I</t>
        </is>
      </c>
      <c r="J39" t="inlineStr">
        <is>
          <t>CDEFGIJL</t>
        </is>
      </c>
    </row>
    <row r="40">
      <c r="A40" t="n">
        <v>39</v>
      </c>
      <c r="B40" t="inlineStr">
        <is>
          <t>3C</t>
        </is>
      </c>
      <c r="C40" t="inlineStr">
        <is>
          <t>3G</t>
        </is>
      </c>
      <c r="D40" t="inlineStr">
        <is>
          <t>3E</t>
        </is>
      </c>
      <c r="E40" t="inlineStr">
        <is>
          <t>3D</t>
        </is>
      </c>
      <c r="F40" t="inlineStr">
        <is>
          <t>3J</t>
        </is>
      </c>
      <c r="G40" t="inlineStr">
        <is>
          <t>3F</t>
        </is>
      </c>
      <c r="H40" t="inlineStr">
        <is>
          <t>3I</t>
        </is>
      </c>
      <c r="I40" t="inlineStr">
        <is>
          <t>3K</t>
        </is>
      </c>
      <c r="J40" t="inlineStr">
        <is>
          <t>CDEFGIJK</t>
        </is>
      </c>
    </row>
    <row r="41">
      <c r="A41" t="n">
        <v>40</v>
      </c>
      <c r="B41" t="inlineStr">
        <is>
          <t>3C</t>
        </is>
      </c>
      <c r="C41" t="inlineStr">
        <is>
          <t>3G</t>
        </is>
      </c>
      <c r="D41" t="inlineStr">
        <is>
          <t>3E</t>
        </is>
      </c>
      <c r="E41" t="inlineStr">
        <is>
          <t>3D</t>
        </is>
      </c>
      <c r="F41" t="inlineStr">
        <is>
          <t>3H</t>
        </is>
      </c>
      <c r="G41" t="inlineStr">
        <is>
          <t>3F</t>
        </is>
      </c>
      <c r="H41" t="inlineStr">
        <is>
          <t>3L</t>
        </is>
      </c>
      <c r="I41" t="inlineStr">
        <is>
          <t>3K</t>
        </is>
      </c>
      <c r="J41" t="inlineStr">
        <is>
          <t>CDEFGHKL</t>
        </is>
      </c>
    </row>
    <row r="42">
      <c r="A42" t="n">
        <v>41</v>
      </c>
      <c r="B42" t="inlineStr">
        <is>
          <t>3C</t>
        </is>
      </c>
      <c r="C42" t="inlineStr">
        <is>
          <t>3G</t>
        </is>
      </c>
      <c r="D42" t="inlineStr">
        <is>
          <t>3J</t>
        </is>
      </c>
      <c r="E42" t="inlineStr">
        <is>
          <t>3D</t>
        </is>
      </c>
      <c r="F42" t="inlineStr">
        <is>
          <t>3H</t>
        </is>
      </c>
      <c r="G42" t="inlineStr">
        <is>
          <t>3F</t>
        </is>
      </c>
      <c r="H42" t="inlineStr">
        <is>
          <t>3L</t>
        </is>
      </c>
      <c r="I42" t="inlineStr">
        <is>
          <t>3E</t>
        </is>
      </c>
      <c r="J42" t="inlineStr">
        <is>
          <t>CDEFGHJL</t>
        </is>
      </c>
    </row>
    <row r="43">
      <c r="A43" t="n">
        <v>42</v>
      </c>
      <c r="B43" t="inlineStr">
        <is>
          <t>3C</t>
        </is>
      </c>
      <c r="C43" t="inlineStr">
        <is>
          <t>3G</t>
        </is>
      </c>
      <c r="D43" t="inlineStr">
        <is>
          <t>3J</t>
        </is>
      </c>
      <c r="E43" t="inlineStr">
        <is>
          <t>3D</t>
        </is>
      </c>
      <c r="F43" t="inlineStr">
        <is>
          <t>3H</t>
        </is>
      </c>
      <c r="G43" t="inlineStr">
        <is>
          <t>3F</t>
        </is>
      </c>
      <c r="H43" t="inlineStr">
        <is>
          <t>3E</t>
        </is>
      </c>
      <c r="I43" t="inlineStr">
        <is>
          <t>3K</t>
        </is>
      </c>
      <c r="J43" t="inlineStr">
        <is>
          <t>CDEFGHJK</t>
        </is>
      </c>
    </row>
    <row r="44">
      <c r="A44" t="n">
        <v>43</v>
      </c>
      <c r="B44" t="inlineStr">
        <is>
          <t>3C</t>
        </is>
      </c>
      <c r="C44" t="inlineStr">
        <is>
          <t>3G</t>
        </is>
      </c>
      <c r="D44" t="inlineStr">
        <is>
          <t>3E</t>
        </is>
      </c>
      <c r="E44" t="inlineStr">
        <is>
          <t>3D</t>
        </is>
      </c>
      <c r="F44" t="inlineStr">
        <is>
          <t>3H</t>
        </is>
      </c>
      <c r="G44" t="inlineStr">
        <is>
          <t>3F</t>
        </is>
      </c>
      <c r="H44" t="inlineStr">
        <is>
          <t>3L</t>
        </is>
      </c>
      <c r="I44" t="inlineStr">
        <is>
          <t>3I</t>
        </is>
      </c>
      <c r="J44" t="inlineStr">
        <is>
          <t>CDEFGHIL</t>
        </is>
      </c>
    </row>
    <row r="45">
      <c r="A45" t="n">
        <v>44</v>
      </c>
      <c r="B45" t="inlineStr">
        <is>
          <t>3C</t>
        </is>
      </c>
      <c r="C45" t="inlineStr">
        <is>
          <t>3G</t>
        </is>
      </c>
      <c r="D45" t="inlineStr">
        <is>
          <t>3E</t>
        </is>
      </c>
      <c r="E45" t="inlineStr">
        <is>
          <t>3D</t>
        </is>
      </c>
      <c r="F45" t="inlineStr">
        <is>
          <t>3H</t>
        </is>
      </c>
      <c r="G45" t="inlineStr">
        <is>
          <t>3F</t>
        </is>
      </c>
      <c r="H45" t="inlineStr">
        <is>
          <t>3I</t>
        </is>
      </c>
      <c r="I45" t="inlineStr">
        <is>
          <t>3K</t>
        </is>
      </c>
      <c r="J45" t="inlineStr">
        <is>
          <t>CDEFGHIK</t>
        </is>
      </c>
    </row>
    <row r="46">
      <c r="A46" t="n">
        <v>45</v>
      </c>
      <c r="B46" t="inlineStr">
        <is>
          <t>3C</t>
        </is>
      </c>
      <c r="C46" t="inlineStr">
        <is>
          <t>3G</t>
        </is>
      </c>
      <c r="D46" t="inlineStr">
        <is>
          <t>3J</t>
        </is>
      </c>
      <c r="E46" t="inlineStr">
        <is>
          <t>3D</t>
        </is>
      </c>
      <c r="F46" t="inlineStr">
        <is>
          <t>3H</t>
        </is>
      </c>
      <c r="G46" t="inlineStr">
        <is>
          <t>3F</t>
        </is>
      </c>
      <c r="H46" t="inlineStr">
        <is>
          <t>3E</t>
        </is>
      </c>
      <c r="I46" t="inlineStr">
        <is>
          <t>3I</t>
        </is>
      </c>
      <c r="J46" t="inlineStr">
        <is>
          <t>CDEFGHIJ</t>
        </is>
      </c>
    </row>
    <row r="47">
      <c r="A47" t="n">
        <v>46</v>
      </c>
      <c r="B47" t="inlineStr">
        <is>
          <t>3H</t>
        </is>
      </c>
      <c r="C47" t="inlineStr">
        <is>
          <t>3J</t>
        </is>
      </c>
      <c r="D47" t="inlineStr">
        <is>
          <t>3B</t>
        </is>
      </c>
      <c r="E47" t="inlineStr">
        <is>
          <t>3F</t>
        </is>
      </c>
      <c r="F47" t="inlineStr">
        <is>
          <t>3I</t>
        </is>
      </c>
      <c r="G47" t="inlineStr">
        <is>
          <t>3G</t>
        </is>
      </c>
      <c r="H47" t="inlineStr">
        <is>
          <t>3L</t>
        </is>
      </c>
      <c r="I47" t="inlineStr">
        <is>
          <t>3K</t>
        </is>
      </c>
      <c r="J47" t="inlineStr">
        <is>
          <t>BFGHIJKL</t>
        </is>
      </c>
    </row>
    <row r="48">
      <c r="A48" t="n">
        <v>47</v>
      </c>
      <c r="B48" t="inlineStr">
        <is>
          <t>3E</t>
        </is>
      </c>
      <c r="C48" t="inlineStr">
        <is>
          <t>3J</t>
        </is>
      </c>
      <c r="D48" t="inlineStr">
        <is>
          <t>3I</t>
        </is>
      </c>
      <c r="E48" t="inlineStr">
        <is>
          <t>3B</t>
        </is>
      </c>
      <c r="F48" t="inlineStr">
        <is>
          <t>3H</t>
        </is>
      </c>
      <c r="G48" t="inlineStr">
        <is>
          <t>3G</t>
        </is>
      </c>
      <c r="H48" t="inlineStr">
        <is>
          <t>3L</t>
        </is>
      </c>
      <c r="I48" t="inlineStr">
        <is>
          <t>3K</t>
        </is>
      </c>
      <c r="J48" t="inlineStr">
        <is>
          <t>BEGHIJKL</t>
        </is>
      </c>
    </row>
    <row r="49">
      <c r="A49" t="n">
        <v>48</v>
      </c>
      <c r="B49" t="inlineStr">
        <is>
          <t>3E</t>
        </is>
      </c>
      <c r="C49" t="inlineStr">
        <is>
          <t>3J</t>
        </is>
      </c>
      <c r="D49" t="inlineStr">
        <is>
          <t>3B</t>
        </is>
      </c>
      <c r="E49" t="inlineStr">
        <is>
          <t>3F</t>
        </is>
      </c>
      <c r="F49" t="inlineStr">
        <is>
          <t>3I</t>
        </is>
      </c>
      <c r="G49" t="inlineStr">
        <is>
          <t>3H</t>
        </is>
      </c>
      <c r="H49" t="inlineStr">
        <is>
          <t>3L</t>
        </is>
      </c>
      <c r="I49" t="inlineStr">
        <is>
          <t>3K</t>
        </is>
      </c>
      <c r="J49" t="inlineStr">
        <is>
          <t>BEFHIJKL</t>
        </is>
      </c>
    </row>
    <row r="50">
      <c r="A50" t="n">
        <v>49</v>
      </c>
      <c r="B50" t="inlineStr">
        <is>
          <t>3E</t>
        </is>
      </c>
      <c r="C50" t="inlineStr">
        <is>
          <t>3J</t>
        </is>
      </c>
      <c r="D50" t="inlineStr">
        <is>
          <t>3B</t>
        </is>
      </c>
      <c r="E50" t="inlineStr">
        <is>
          <t>3F</t>
        </is>
      </c>
      <c r="F50" t="inlineStr">
        <is>
          <t>3I</t>
        </is>
      </c>
      <c r="G50" t="inlineStr">
        <is>
          <t>3G</t>
        </is>
      </c>
      <c r="H50" t="inlineStr">
        <is>
          <t>3L</t>
        </is>
      </c>
      <c r="I50" t="inlineStr">
        <is>
          <t>3K</t>
        </is>
      </c>
      <c r="J50" t="inlineStr">
        <is>
          <t>BEFGIJKL</t>
        </is>
      </c>
    </row>
    <row r="51">
      <c r="A51" t="n">
        <v>50</v>
      </c>
      <c r="B51" t="inlineStr">
        <is>
          <t>3E</t>
        </is>
      </c>
      <c r="C51" t="inlineStr">
        <is>
          <t>3J</t>
        </is>
      </c>
      <c r="D51" t="inlineStr">
        <is>
          <t>3B</t>
        </is>
      </c>
      <c r="E51" t="inlineStr">
        <is>
          <t>3F</t>
        </is>
      </c>
      <c r="F51" t="inlineStr">
        <is>
          <t>3H</t>
        </is>
      </c>
      <c r="G51" t="inlineStr">
        <is>
          <t>3G</t>
        </is>
      </c>
      <c r="H51" t="inlineStr">
        <is>
          <t>3L</t>
        </is>
      </c>
      <c r="I51" t="inlineStr">
        <is>
          <t>3K</t>
        </is>
      </c>
      <c r="J51" t="inlineStr">
        <is>
          <t>BEFGHJKL</t>
        </is>
      </c>
    </row>
    <row r="52">
      <c r="A52" t="n">
        <v>51</v>
      </c>
      <c r="B52" t="inlineStr">
        <is>
          <t>3E</t>
        </is>
      </c>
      <c r="C52" t="inlineStr">
        <is>
          <t>3G</t>
        </is>
      </c>
      <c r="D52" t="inlineStr">
        <is>
          <t>3B</t>
        </is>
      </c>
      <c r="E52" t="inlineStr">
        <is>
          <t>3F</t>
        </is>
      </c>
      <c r="F52" t="inlineStr">
        <is>
          <t>3I</t>
        </is>
      </c>
      <c r="G52" t="inlineStr">
        <is>
          <t>3H</t>
        </is>
      </c>
      <c r="H52" t="inlineStr">
        <is>
          <t>3L</t>
        </is>
      </c>
      <c r="I52" t="inlineStr">
        <is>
          <t>3K</t>
        </is>
      </c>
      <c r="J52" t="inlineStr">
        <is>
          <t>BEFGHIKL</t>
        </is>
      </c>
    </row>
    <row r="53">
      <c r="A53" t="n">
        <v>52</v>
      </c>
      <c r="B53" t="inlineStr">
        <is>
          <t>3E</t>
        </is>
      </c>
      <c r="C53" t="inlineStr">
        <is>
          <t>3J</t>
        </is>
      </c>
      <c r="D53" t="inlineStr">
        <is>
          <t>3B</t>
        </is>
      </c>
      <c r="E53" t="inlineStr">
        <is>
          <t>3F</t>
        </is>
      </c>
      <c r="F53" t="inlineStr">
        <is>
          <t>3H</t>
        </is>
      </c>
      <c r="G53" t="inlineStr">
        <is>
          <t>3G</t>
        </is>
      </c>
      <c r="H53" t="inlineStr">
        <is>
          <t>3L</t>
        </is>
      </c>
      <c r="I53" t="inlineStr">
        <is>
          <t>3I</t>
        </is>
      </c>
      <c r="J53" t="inlineStr">
        <is>
          <t>BEFGHIJL</t>
        </is>
      </c>
    </row>
    <row r="54">
      <c r="A54" t="n">
        <v>53</v>
      </c>
      <c r="B54" t="inlineStr">
        <is>
          <t>3E</t>
        </is>
      </c>
      <c r="C54" t="inlineStr">
        <is>
          <t>3J</t>
        </is>
      </c>
      <c r="D54" t="inlineStr">
        <is>
          <t>3B</t>
        </is>
      </c>
      <c r="E54" t="inlineStr">
        <is>
          <t>3F</t>
        </is>
      </c>
      <c r="F54" t="inlineStr">
        <is>
          <t>3H</t>
        </is>
      </c>
      <c r="G54" t="inlineStr">
        <is>
          <t>3G</t>
        </is>
      </c>
      <c r="H54" t="inlineStr">
        <is>
          <t>3I</t>
        </is>
      </c>
      <c r="I54" t="inlineStr">
        <is>
          <t>3K</t>
        </is>
      </c>
      <c r="J54" t="inlineStr">
        <is>
          <t>BEFGHIJK</t>
        </is>
      </c>
    </row>
    <row r="55">
      <c r="A55" t="n">
        <v>54</v>
      </c>
      <c r="B55" t="inlineStr">
        <is>
          <t>3H</t>
        </is>
      </c>
      <c r="C55" t="inlineStr">
        <is>
          <t>3J</t>
        </is>
      </c>
      <c r="D55" t="inlineStr">
        <is>
          <t>3B</t>
        </is>
      </c>
      <c r="E55" t="inlineStr">
        <is>
          <t>3D</t>
        </is>
      </c>
      <c r="F55" t="inlineStr">
        <is>
          <t>3I</t>
        </is>
      </c>
      <c r="G55" t="inlineStr">
        <is>
          <t>3G</t>
        </is>
      </c>
      <c r="H55" t="inlineStr">
        <is>
          <t>3L</t>
        </is>
      </c>
      <c r="I55" t="inlineStr">
        <is>
          <t>3K</t>
        </is>
      </c>
      <c r="J55" t="inlineStr">
        <is>
          <t>BDGHIJKL</t>
        </is>
      </c>
    </row>
    <row r="56">
      <c r="A56" t="n">
        <v>55</v>
      </c>
      <c r="B56" t="inlineStr">
        <is>
          <t>3H</t>
        </is>
      </c>
      <c r="C56" t="inlineStr">
        <is>
          <t>3J</t>
        </is>
      </c>
      <c r="D56" t="inlineStr">
        <is>
          <t>3B</t>
        </is>
      </c>
      <c r="E56" t="inlineStr">
        <is>
          <t>3D</t>
        </is>
      </c>
      <c r="F56" t="inlineStr">
        <is>
          <t>3I</t>
        </is>
      </c>
      <c r="G56" t="inlineStr">
        <is>
          <t>3F</t>
        </is>
      </c>
      <c r="H56" t="inlineStr">
        <is>
          <t>3L</t>
        </is>
      </c>
      <c r="I56" t="inlineStr">
        <is>
          <t>3K</t>
        </is>
      </c>
      <c r="J56" t="inlineStr">
        <is>
          <t>BDFHIJKL</t>
        </is>
      </c>
    </row>
    <row r="57">
      <c r="A57" t="n">
        <v>56</v>
      </c>
      <c r="B57" t="inlineStr">
        <is>
          <t>3I</t>
        </is>
      </c>
      <c r="C57" t="inlineStr">
        <is>
          <t>3G</t>
        </is>
      </c>
      <c r="D57" t="inlineStr">
        <is>
          <t>3B</t>
        </is>
      </c>
      <c r="E57" t="inlineStr">
        <is>
          <t>3D</t>
        </is>
      </c>
      <c r="F57" t="inlineStr">
        <is>
          <t>3J</t>
        </is>
      </c>
      <c r="G57" t="inlineStr">
        <is>
          <t>3F</t>
        </is>
      </c>
      <c r="H57" t="inlineStr">
        <is>
          <t>3L</t>
        </is>
      </c>
      <c r="I57" t="inlineStr">
        <is>
          <t>3K</t>
        </is>
      </c>
      <c r="J57" t="inlineStr">
        <is>
          <t>BDFGIJKL</t>
        </is>
      </c>
    </row>
    <row r="58">
      <c r="A58" t="n">
        <v>57</v>
      </c>
      <c r="B58" t="inlineStr">
        <is>
          <t>3H</t>
        </is>
      </c>
      <c r="C58" t="inlineStr">
        <is>
          <t>3G</t>
        </is>
      </c>
      <c r="D58" t="inlineStr">
        <is>
          <t>3B</t>
        </is>
      </c>
      <c r="E58" t="inlineStr">
        <is>
          <t>3D</t>
        </is>
      </c>
      <c r="F58" t="inlineStr">
        <is>
          <t>3J</t>
        </is>
      </c>
      <c r="G58" t="inlineStr">
        <is>
          <t>3F</t>
        </is>
      </c>
      <c r="H58" t="inlineStr">
        <is>
          <t>3L</t>
        </is>
      </c>
      <c r="I58" t="inlineStr">
        <is>
          <t>3K</t>
        </is>
      </c>
      <c r="J58" t="inlineStr">
        <is>
          <t>BDFGHJKL</t>
        </is>
      </c>
    </row>
    <row r="59">
      <c r="A59" t="n">
        <v>58</v>
      </c>
      <c r="B59" t="inlineStr">
        <is>
          <t>3H</t>
        </is>
      </c>
      <c r="C59" t="inlineStr">
        <is>
          <t>3G</t>
        </is>
      </c>
      <c r="D59" t="inlineStr">
        <is>
          <t>3B</t>
        </is>
      </c>
      <c r="E59" t="inlineStr">
        <is>
          <t>3D</t>
        </is>
      </c>
      <c r="F59" t="inlineStr">
        <is>
          <t>3I</t>
        </is>
      </c>
      <c r="G59" t="inlineStr">
        <is>
          <t>3F</t>
        </is>
      </c>
      <c r="H59" t="inlineStr">
        <is>
          <t>3L</t>
        </is>
      </c>
      <c r="I59" t="inlineStr">
        <is>
          <t>3K</t>
        </is>
      </c>
      <c r="J59" t="inlineStr">
        <is>
          <t>BDFGHIKL</t>
        </is>
      </c>
    </row>
    <row r="60">
      <c r="A60" t="n">
        <v>59</v>
      </c>
      <c r="B60" t="inlineStr">
        <is>
          <t>3H</t>
        </is>
      </c>
      <c r="C60" t="inlineStr">
        <is>
          <t>3G</t>
        </is>
      </c>
      <c r="D60" t="inlineStr">
        <is>
          <t>3B</t>
        </is>
      </c>
      <c r="E60" t="inlineStr">
        <is>
          <t>3D</t>
        </is>
      </c>
      <c r="F60" t="inlineStr">
        <is>
          <t>3J</t>
        </is>
      </c>
      <c r="G60" t="inlineStr">
        <is>
          <t>3F</t>
        </is>
      </c>
      <c r="H60" t="inlineStr">
        <is>
          <t>3L</t>
        </is>
      </c>
      <c r="I60" t="inlineStr">
        <is>
          <t>3I</t>
        </is>
      </c>
      <c r="J60" t="inlineStr">
        <is>
          <t>BDFGHIJL</t>
        </is>
      </c>
    </row>
    <row r="61">
      <c r="A61" t="n">
        <v>60</v>
      </c>
      <c r="B61" t="inlineStr">
        <is>
          <t>3H</t>
        </is>
      </c>
      <c r="C61" t="inlineStr">
        <is>
          <t>3G</t>
        </is>
      </c>
      <c r="D61" t="inlineStr">
        <is>
          <t>3B</t>
        </is>
      </c>
      <c r="E61" t="inlineStr">
        <is>
          <t>3D</t>
        </is>
      </c>
      <c r="F61" t="inlineStr">
        <is>
          <t>3J</t>
        </is>
      </c>
      <c r="G61" t="inlineStr">
        <is>
          <t>3F</t>
        </is>
      </c>
      <c r="H61" t="inlineStr">
        <is>
          <t>3I</t>
        </is>
      </c>
      <c r="I61" t="inlineStr">
        <is>
          <t>3K</t>
        </is>
      </c>
      <c r="J61" t="inlineStr">
        <is>
          <t>BDFGHIJK</t>
        </is>
      </c>
    </row>
    <row r="62">
      <c r="A62" t="n">
        <v>61</v>
      </c>
      <c r="B62" t="inlineStr">
        <is>
          <t>3E</t>
        </is>
      </c>
      <c r="C62" t="inlineStr">
        <is>
          <t>3J</t>
        </is>
      </c>
      <c r="D62" t="inlineStr">
        <is>
          <t>3B</t>
        </is>
      </c>
      <c r="E62" t="inlineStr">
        <is>
          <t>3D</t>
        </is>
      </c>
      <c r="F62" t="inlineStr">
        <is>
          <t>3I</t>
        </is>
      </c>
      <c r="G62" t="inlineStr">
        <is>
          <t>3H</t>
        </is>
      </c>
      <c r="H62" t="inlineStr">
        <is>
          <t>3L</t>
        </is>
      </c>
      <c r="I62" t="inlineStr">
        <is>
          <t>3K</t>
        </is>
      </c>
      <c r="J62" t="inlineStr">
        <is>
          <t>BDEHIJKL</t>
        </is>
      </c>
    </row>
    <row r="63">
      <c r="A63" t="n">
        <v>62</v>
      </c>
      <c r="B63" t="inlineStr">
        <is>
          <t>3E</t>
        </is>
      </c>
      <c r="C63" t="inlineStr">
        <is>
          <t>3J</t>
        </is>
      </c>
      <c r="D63" t="inlineStr">
        <is>
          <t>3B</t>
        </is>
      </c>
      <c r="E63" t="inlineStr">
        <is>
          <t>3D</t>
        </is>
      </c>
      <c r="F63" t="inlineStr">
        <is>
          <t>3I</t>
        </is>
      </c>
      <c r="G63" t="inlineStr">
        <is>
          <t>3G</t>
        </is>
      </c>
      <c r="H63" t="inlineStr">
        <is>
          <t>3L</t>
        </is>
      </c>
      <c r="I63" t="inlineStr">
        <is>
          <t>3K</t>
        </is>
      </c>
      <c r="J63" t="inlineStr">
        <is>
          <t>BDEGIJKL</t>
        </is>
      </c>
    </row>
    <row r="64">
      <c r="A64" t="n">
        <v>63</v>
      </c>
      <c r="B64" t="inlineStr">
        <is>
          <t>3E</t>
        </is>
      </c>
      <c r="C64" t="inlineStr">
        <is>
          <t>3J</t>
        </is>
      </c>
      <c r="D64" t="inlineStr">
        <is>
          <t>3B</t>
        </is>
      </c>
      <c r="E64" t="inlineStr">
        <is>
          <t>3D</t>
        </is>
      </c>
      <c r="F64" t="inlineStr">
        <is>
          <t>3H</t>
        </is>
      </c>
      <c r="G64" t="inlineStr">
        <is>
          <t>3G</t>
        </is>
      </c>
      <c r="H64" t="inlineStr">
        <is>
          <t>3L</t>
        </is>
      </c>
      <c r="I64" t="inlineStr">
        <is>
          <t>3K</t>
        </is>
      </c>
      <c r="J64" t="inlineStr">
        <is>
          <t>BDEGHJKL</t>
        </is>
      </c>
    </row>
    <row r="65">
      <c r="A65" t="n">
        <v>64</v>
      </c>
      <c r="B65" t="inlineStr">
        <is>
          <t>3E</t>
        </is>
      </c>
      <c r="C65" t="inlineStr">
        <is>
          <t>3G</t>
        </is>
      </c>
      <c r="D65" t="inlineStr">
        <is>
          <t>3B</t>
        </is>
      </c>
      <c r="E65" t="inlineStr">
        <is>
          <t>3D</t>
        </is>
      </c>
      <c r="F65" t="inlineStr">
        <is>
          <t>3I</t>
        </is>
      </c>
      <c r="G65" t="inlineStr">
        <is>
          <t>3H</t>
        </is>
      </c>
      <c r="H65" t="inlineStr">
        <is>
          <t>3L</t>
        </is>
      </c>
      <c r="I65" t="inlineStr">
        <is>
          <t>3K</t>
        </is>
      </c>
      <c r="J65" t="inlineStr">
        <is>
          <t>BDEGHIKL</t>
        </is>
      </c>
    </row>
    <row r="66">
      <c r="A66" t="n">
        <v>65</v>
      </c>
      <c r="B66" t="inlineStr">
        <is>
          <t>3E</t>
        </is>
      </c>
      <c r="C66" t="inlineStr">
        <is>
          <t>3J</t>
        </is>
      </c>
      <c r="D66" t="inlineStr">
        <is>
          <t>3B</t>
        </is>
      </c>
      <c r="E66" t="inlineStr">
        <is>
          <t>3D</t>
        </is>
      </c>
      <c r="F66" t="inlineStr">
        <is>
          <t>3H</t>
        </is>
      </c>
      <c r="G66" t="inlineStr">
        <is>
          <t>3G</t>
        </is>
      </c>
      <c r="H66" t="inlineStr">
        <is>
          <t>3L</t>
        </is>
      </c>
      <c r="I66" t="inlineStr">
        <is>
          <t>3I</t>
        </is>
      </c>
      <c r="J66" t="inlineStr">
        <is>
          <t>BDEGHIJL</t>
        </is>
      </c>
    </row>
    <row r="67">
      <c r="A67" t="n">
        <v>66</v>
      </c>
      <c r="B67" t="inlineStr">
        <is>
          <t>3E</t>
        </is>
      </c>
      <c r="C67" t="inlineStr">
        <is>
          <t>3J</t>
        </is>
      </c>
      <c r="D67" t="inlineStr">
        <is>
          <t>3B</t>
        </is>
      </c>
      <c r="E67" t="inlineStr">
        <is>
          <t>3D</t>
        </is>
      </c>
      <c r="F67" t="inlineStr">
        <is>
          <t>3H</t>
        </is>
      </c>
      <c r="G67" t="inlineStr">
        <is>
          <t>3G</t>
        </is>
      </c>
      <c r="H67" t="inlineStr">
        <is>
          <t>3I</t>
        </is>
      </c>
      <c r="I67" t="inlineStr">
        <is>
          <t>3K</t>
        </is>
      </c>
      <c r="J67" t="inlineStr">
        <is>
          <t>BDEGHIJK</t>
        </is>
      </c>
    </row>
    <row r="68">
      <c r="A68" t="n">
        <v>67</v>
      </c>
      <c r="B68" t="inlineStr">
        <is>
          <t>3E</t>
        </is>
      </c>
      <c r="C68" t="inlineStr">
        <is>
          <t>3J</t>
        </is>
      </c>
      <c r="D68" t="inlineStr">
        <is>
          <t>3B</t>
        </is>
      </c>
      <c r="E68" t="inlineStr">
        <is>
          <t>3D</t>
        </is>
      </c>
      <c r="F68" t="inlineStr">
        <is>
          <t>3I</t>
        </is>
      </c>
      <c r="G68" t="inlineStr">
        <is>
          <t>3F</t>
        </is>
      </c>
      <c r="H68" t="inlineStr">
        <is>
          <t>3L</t>
        </is>
      </c>
      <c r="I68" t="inlineStr">
        <is>
          <t>3K</t>
        </is>
      </c>
      <c r="J68" t="inlineStr">
        <is>
          <t>BDEFIJKL</t>
        </is>
      </c>
    </row>
    <row r="69">
      <c r="A69" t="n">
        <v>68</v>
      </c>
      <c r="B69" t="inlineStr">
        <is>
          <t>3E</t>
        </is>
      </c>
      <c r="C69" t="inlineStr">
        <is>
          <t>3J</t>
        </is>
      </c>
      <c r="D69" t="inlineStr">
        <is>
          <t>3B</t>
        </is>
      </c>
      <c r="E69" t="inlineStr">
        <is>
          <t>3D</t>
        </is>
      </c>
      <c r="F69" t="inlineStr">
        <is>
          <t>3H</t>
        </is>
      </c>
      <c r="G69" t="inlineStr">
        <is>
          <t>3F</t>
        </is>
      </c>
      <c r="H69" t="inlineStr">
        <is>
          <t>3L</t>
        </is>
      </c>
      <c r="I69" t="inlineStr">
        <is>
          <t>3K</t>
        </is>
      </c>
      <c r="J69" t="inlineStr">
        <is>
          <t>BDEFHJKL</t>
        </is>
      </c>
    </row>
    <row r="70">
      <c r="A70" t="n">
        <v>69</v>
      </c>
      <c r="B70" t="inlineStr">
        <is>
          <t>3E</t>
        </is>
      </c>
      <c r="C70" t="inlineStr">
        <is>
          <t>3I</t>
        </is>
      </c>
      <c r="D70" t="inlineStr">
        <is>
          <t>3B</t>
        </is>
      </c>
      <c r="E70" t="inlineStr">
        <is>
          <t>3D</t>
        </is>
      </c>
      <c r="F70" t="inlineStr">
        <is>
          <t>3H</t>
        </is>
      </c>
      <c r="G70" t="inlineStr">
        <is>
          <t>3F</t>
        </is>
      </c>
      <c r="H70" t="inlineStr">
        <is>
          <t>3L</t>
        </is>
      </c>
      <c r="I70" t="inlineStr">
        <is>
          <t>3K</t>
        </is>
      </c>
      <c r="J70" t="inlineStr">
        <is>
          <t>BDEFHIKL</t>
        </is>
      </c>
    </row>
    <row r="71">
      <c r="A71" t="n">
        <v>70</v>
      </c>
      <c r="B71" t="inlineStr">
        <is>
          <t>3E</t>
        </is>
      </c>
      <c r="C71" t="inlineStr">
        <is>
          <t>3J</t>
        </is>
      </c>
      <c r="D71" t="inlineStr">
        <is>
          <t>3B</t>
        </is>
      </c>
      <c r="E71" t="inlineStr">
        <is>
          <t>3D</t>
        </is>
      </c>
      <c r="F71" t="inlineStr">
        <is>
          <t>3H</t>
        </is>
      </c>
      <c r="G71" t="inlineStr">
        <is>
          <t>3F</t>
        </is>
      </c>
      <c r="H71" t="inlineStr">
        <is>
          <t>3L</t>
        </is>
      </c>
      <c r="I71" t="inlineStr">
        <is>
          <t>3I</t>
        </is>
      </c>
      <c r="J71" t="inlineStr">
        <is>
          <t>BDEFHIJL</t>
        </is>
      </c>
    </row>
    <row r="72">
      <c r="A72" t="n">
        <v>71</v>
      </c>
      <c r="B72" t="inlineStr">
        <is>
          <t>3E</t>
        </is>
      </c>
      <c r="C72" t="inlineStr">
        <is>
          <t>3J</t>
        </is>
      </c>
      <c r="D72" t="inlineStr">
        <is>
          <t>3B</t>
        </is>
      </c>
      <c r="E72" t="inlineStr">
        <is>
          <t>3D</t>
        </is>
      </c>
      <c r="F72" t="inlineStr">
        <is>
          <t>3H</t>
        </is>
      </c>
      <c r="G72" t="inlineStr">
        <is>
          <t>3F</t>
        </is>
      </c>
      <c r="H72" t="inlineStr">
        <is>
          <t>3I</t>
        </is>
      </c>
      <c r="I72" t="inlineStr">
        <is>
          <t>3K</t>
        </is>
      </c>
      <c r="J72" t="inlineStr">
        <is>
          <t>BDEFHIJK</t>
        </is>
      </c>
    </row>
    <row r="73">
      <c r="A73" t="n">
        <v>72</v>
      </c>
      <c r="B73" t="inlineStr">
        <is>
          <t>3E</t>
        </is>
      </c>
      <c r="C73" t="inlineStr">
        <is>
          <t>3G</t>
        </is>
      </c>
      <c r="D73" t="inlineStr">
        <is>
          <t>3B</t>
        </is>
      </c>
      <c r="E73" t="inlineStr">
        <is>
          <t>3D</t>
        </is>
      </c>
      <c r="F73" t="inlineStr">
        <is>
          <t>3J</t>
        </is>
      </c>
      <c r="G73" t="inlineStr">
        <is>
          <t>3F</t>
        </is>
      </c>
      <c r="H73" t="inlineStr">
        <is>
          <t>3L</t>
        </is>
      </c>
      <c r="I73" t="inlineStr">
        <is>
          <t>3K</t>
        </is>
      </c>
      <c r="J73" t="inlineStr">
        <is>
          <t>BDEFGJKL</t>
        </is>
      </c>
    </row>
    <row r="74">
      <c r="A74" t="n">
        <v>73</v>
      </c>
      <c r="B74" t="inlineStr">
        <is>
          <t>3E</t>
        </is>
      </c>
      <c r="C74" t="inlineStr">
        <is>
          <t>3G</t>
        </is>
      </c>
      <c r="D74" t="inlineStr">
        <is>
          <t>3B</t>
        </is>
      </c>
      <c r="E74" t="inlineStr">
        <is>
          <t>3D</t>
        </is>
      </c>
      <c r="F74" t="inlineStr">
        <is>
          <t>3I</t>
        </is>
      </c>
      <c r="G74" t="inlineStr">
        <is>
          <t>3F</t>
        </is>
      </c>
      <c r="H74" t="inlineStr">
        <is>
          <t>3L</t>
        </is>
      </c>
      <c r="I74" t="inlineStr">
        <is>
          <t>3K</t>
        </is>
      </c>
      <c r="J74" t="inlineStr">
        <is>
          <t>BDEFGIKL</t>
        </is>
      </c>
    </row>
    <row r="75">
      <c r="A75" t="n">
        <v>74</v>
      </c>
      <c r="B75" t="inlineStr">
        <is>
          <t>3E</t>
        </is>
      </c>
      <c r="C75" t="inlineStr">
        <is>
          <t>3G</t>
        </is>
      </c>
      <c r="D75" t="inlineStr">
        <is>
          <t>3B</t>
        </is>
      </c>
      <c r="E75" t="inlineStr">
        <is>
          <t>3D</t>
        </is>
      </c>
      <c r="F75" t="inlineStr">
        <is>
          <t>3J</t>
        </is>
      </c>
      <c r="G75" t="inlineStr">
        <is>
          <t>3F</t>
        </is>
      </c>
      <c r="H75" t="inlineStr">
        <is>
          <t>3L</t>
        </is>
      </c>
      <c r="I75" t="inlineStr">
        <is>
          <t>3I</t>
        </is>
      </c>
      <c r="J75" t="inlineStr">
        <is>
          <t>BDEFGIJL</t>
        </is>
      </c>
    </row>
    <row r="76">
      <c r="A76" t="n">
        <v>75</v>
      </c>
      <c r="B76" t="inlineStr">
        <is>
          <t>3E</t>
        </is>
      </c>
      <c r="C76" t="inlineStr">
        <is>
          <t>3G</t>
        </is>
      </c>
      <c r="D76" t="inlineStr">
        <is>
          <t>3B</t>
        </is>
      </c>
      <c r="E76" t="inlineStr">
        <is>
          <t>3D</t>
        </is>
      </c>
      <c r="F76" t="inlineStr">
        <is>
          <t>3J</t>
        </is>
      </c>
      <c r="G76" t="inlineStr">
        <is>
          <t>3F</t>
        </is>
      </c>
      <c r="H76" t="inlineStr">
        <is>
          <t>3I</t>
        </is>
      </c>
      <c r="I76" t="inlineStr">
        <is>
          <t>3K</t>
        </is>
      </c>
      <c r="J76" t="inlineStr">
        <is>
          <t>BDEFGIJK</t>
        </is>
      </c>
    </row>
    <row r="77">
      <c r="A77" t="n">
        <v>76</v>
      </c>
      <c r="B77" t="inlineStr">
        <is>
          <t>3E</t>
        </is>
      </c>
      <c r="C77" t="inlineStr">
        <is>
          <t>3G</t>
        </is>
      </c>
      <c r="D77" t="inlineStr">
        <is>
          <t>3B</t>
        </is>
      </c>
      <c r="E77" t="inlineStr">
        <is>
          <t>3D</t>
        </is>
      </c>
      <c r="F77" t="inlineStr">
        <is>
          <t>3H</t>
        </is>
      </c>
      <c r="G77" t="inlineStr">
        <is>
          <t>3F</t>
        </is>
      </c>
      <c r="H77" t="inlineStr">
        <is>
          <t>3L</t>
        </is>
      </c>
      <c r="I77" t="inlineStr">
        <is>
          <t>3K</t>
        </is>
      </c>
      <c r="J77" t="inlineStr">
        <is>
          <t>BDEFGHKL</t>
        </is>
      </c>
    </row>
    <row r="78">
      <c r="A78" t="n">
        <v>77</v>
      </c>
      <c r="B78" t="inlineStr">
        <is>
          <t>3H</t>
        </is>
      </c>
      <c r="C78" t="inlineStr">
        <is>
          <t>3G</t>
        </is>
      </c>
      <c r="D78" t="inlineStr">
        <is>
          <t>3B</t>
        </is>
      </c>
      <c r="E78" t="inlineStr">
        <is>
          <t>3D</t>
        </is>
      </c>
      <c r="F78" t="inlineStr">
        <is>
          <t>3J</t>
        </is>
      </c>
      <c r="G78" t="inlineStr">
        <is>
          <t>3F</t>
        </is>
      </c>
      <c r="H78" t="inlineStr">
        <is>
          <t>3L</t>
        </is>
      </c>
      <c r="I78" t="inlineStr">
        <is>
          <t>3E</t>
        </is>
      </c>
      <c r="J78" t="inlineStr">
        <is>
          <t>BDEFGHJL</t>
        </is>
      </c>
    </row>
    <row r="79">
      <c r="A79" t="n">
        <v>78</v>
      </c>
      <c r="B79" t="inlineStr">
        <is>
          <t>3H</t>
        </is>
      </c>
      <c r="C79" t="inlineStr">
        <is>
          <t>3G</t>
        </is>
      </c>
      <c r="D79" t="inlineStr">
        <is>
          <t>3B</t>
        </is>
      </c>
      <c r="E79" t="inlineStr">
        <is>
          <t>3D</t>
        </is>
      </c>
      <c r="F79" t="inlineStr">
        <is>
          <t>3J</t>
        </is>
      </c>
      <c r="G79" t="inlineStr">
        <is>
          <t>3F</t>
        </is>
      </c>
      <c r="H79" t="inlineStr">
        <is>
          <t>3E</t>
        </is>
      </c>
      <c r="I79" t="inlineStr">
        <is>
          <t>3K</t>
        </is>
      </c>
      <c r="J79" t="inlineStr">
        <is>
          <t>BDEFGHJK</t>
        </is>
      </c>
    </row>
    <row r="80">
      <c r="A80" t="n">
        <v>79</v>
      </c>
      <c r="B80" t="inlineStr">
        <is>
          <t>3E</t>
        </is>
      </c>
      <c r="C80" t="inlineStr">
        <is>
          <t>3G</t>
        </is>
      </c>
      <c r="D80" t="inlineStr">
        <is>
          <t>3B</t>
        </is>
      </c>
      <c r="E80" t="inlineStr">
        <is>
          <t>3D</t>
        </is>
      </c>
      <c r="F80" t="inlineStr">
        <is>
          <t>3H</t>
        </is>
      </c>
      <c r="G80" t="inlineStr">
        <is>
          <t>3F</t>
        </is>
      </c>
      <c r="H80" t="inlineStr">
        <is>
          <t>3L</t>
        </is>
      </c>
      <c r="I80" t="inlineStr">
        <is>
          <t>3I</t>
        </is>
      </c>
      <c r="J80" t="inlineStr">
        <is>
          <t>BDEFGHIL</t>
        </is>
      </c>
    </row>
    <row r="81">
      <c r="A81" t="n">
        <v>80</v>
      </c>
      <c r="B81" t="inlineStr">
        <is>
          <t>3E</t>
        </is>
      </c>
      <c r="C81" t="inlineStr">
        <is>
          <t>3G</t>
        </is>
      </c>
      <c r="D81" t="inlineStr">
        <is>
          <t>3B</t>
        </is>
      </c>
      <c r="E81" t="inlineStr">
        <is>
          <t>3D</t>
        </is>
      </c>
      <c r="F81" t="inlineStr">
        <is>
          <t>3H</t>
        </is>
      </c>
      <c r="G81" t="inlineStr">
        <is>
          <t>3F</t>
        </is>
      </c>
      <c r="H81" t="inlineStr">
        <is>
          <t>3I</t>
        </is>
      </c>
      <c r="I81" t="inlineStr">
        <is>
          <t>3K</t>
        </is>
      </c>
      <c r="J81" t="inlineStr">
        <is>
          <t>BDEFGHIK</t>
        </is>
      </c>
    </row>
    <row r="82">
      <c r="A82" t="n">
        <v>81</v>
      </c>
      <c r="B82" t="inlineStr">
        <is>
          <t>3H</t>
        </is>
      </c>
      <c r="C82" t="inlineStr">
        <is>
          <t>3G</t>
        </is>
      </c>
      <c r="D82" t="inlineStr">
        <is>
          <t>3B</t>
        </is>
      </c>
      <c r="E82" t="inlineStr">
        <is>
          <t>3D</t>
        </is>
      </c>
      <c r="F82" t="inlineStr">
        <is>
          <t>3J</t>
        </is>
      </c>
      <c r="G82" t="inlineStr">
        <is>
          <t>3F</t>
        </is>
      </c>
      <c r="H82" t="inlineStr">
        <is>
          <t>3E</t>
        </is>
      </c>
      <c r="I82" t="inlineStr">
        <is>
          <t>3I</t>
        </is>
      </c>
      <c r="J82" t="inlineStr">
        <is>
          <t>BDEFGHIJ</t>
        </is>
      </c>
    </row>
    <row r="83">
      <c r="A83" t="n">
        <v>82</v>
      </c>
      <c r="B83" t="inlineStr">
        <is>
          <t>3H</t>
        </is>
      </c>
      <c r="C83" t="inlineStr">
        <is>
          <t>3J</t>
        </is>
      </c>
      <c r="D83" t="inlineStr">
        <is>
          <t>3B</t>
        </is>
      </c>
      <c r="E83" t="inlineStr">
        <is>
          <t>3C</t>
        </is>
      </c>
      <c r="F83" t="inlineStr">
        <is>
          <t>3I</t>
        </is>
      </c>
      <c r="G83" t="inlineStr">
        <is>
          <t>3G</t>
        </is>
      </c>
      <c r="H83" t="inlineStr">
        <is>
          <t>3L</t>
        </is>
      </c>
      <c r="I83" t="inlineStr">
        <is>
          <t>3K</t>
        </is>
      </c>
      <c r="J83" t="inlineStr">
        <is>
          <t>BCGHIJKL</t>
        </is>
      </c>
    </row>
    <row r="84">
      <c r="A84" t="n">
        <v>83</v>
      </c>
      <c r="B84" t="inlineStr">
        <is>
          <t>3H</t>
        </is>
      </c>
      <c r="C84" t="inlineStr">
        <is>
          <t>3J</t>
        </is>
      </c>
      <c r="D84" t="inlineStr">
        <is>
          <t>3B</t>
        </is>
      </c>
      <c r="E84" t="inlineStr">
        <is>
          <t>3C</t>
        </is>
      </c>
      <c r="F84" t="inlineStr">
        <is>
          <t>3I</t>
        </is>
      </c>
      <c r="G84" t="inlineStr">
        <is>
          <t>3F</t>
        </is>
      </c>
      <c r="H84" t="inlineStr">
        <is>
          <t>3L</t>
        </is>
      </c>
      <c r="I84" t="inlineStr">
        <is>
          <t>3K</t>
        </is>
      </c>
      <c r="J84" t="inlineStr">
        <is>
          <t>BCFHIJKL</t>
        </is>
      </c>
    </row>
    <row r="85">
      <c r="A85" t="n">
        <v>84</v>
      </c>
      <c r="B85" t="inlineStr">
        <is>
          <t>3I</t>
        </is>
      </c>
      <c r="C85" t="inlineStr">
        <is>
          <t>3G</t>
        </is>
      </c>
      <c r="D85" t="inlineStr">
        <is>
          <t>3B</t>
        </is>
      </c>
      <c r="E85" t="inlineStr">
        <is>
          <t>3C</t>
        </is>
      </c>
      <c r="F85" t="inlineStr">
        <is>
          <t>3J</t>
        </is>
      </c>
      <c r="G85" t="inlineStr">
        <is>
          <t>3F</t>
        </is>
      </c>
      <c r="H85" t="inlineStr">
        <is>
          <t>3L</t>
        </is>
      </c>
      <c r="I85" t="inlineStr">
        <is>
          <t>3K</t>
        </is>
      </c>
      <c r="J85" t="inlineStr">
        <is>
          <t>BCFGIJKL</t>
        </is>
      </c>
    </row>
    <row r="86">
      <c r="A86" t="n">
        <v>85</v>
      </c>
      <c r="B86" t="inlineStr">
        <is>
          <t>3H</t>
        </is>
      </c>
      <c r="C86" t="inlineStr">
        <is>
          <t>3G</t>
        </is>
      </c>
      <c r="D86" t="inlineStr">
        <is>
          <t>3B</t>
        </is>
      </c>
      <c r="E86" t="inlineStr">
        <is>
          <t>3C</t>
        </is>
      </c>
      <c r="F86" t="inlineStr">
        <is>
          <t>3J</t>
        </is>
      </c>
      <c r="G86" t="inlineStr">
        <is>
          <t>3F</t>
        </is>
      </c>
      <c r="H86" t="inlineStr">
        <is>
          <t>3L</t>
        </is>
      </c>
      <c r="I86" t="inlineStr">
        <is>
          <t>3K</t>
        </is>
      </c>
      <c r="J86" t="inlineStr">
        <is>
          <t>BCFGHJKL</t>
        </is>
      </c>
    </row>
    <row r="87">
      <c r="A87" t="n">
        <v>86</v>
      </c>
      <c r="B87" t="inlineStr">
        <is>
          <t>3H</t>
        </is>
      </c>
      <c r="C87" t="inlineStr">
        <is>
          <t>3G</t>
        </is>
      </c>
      <c r="D87" t="inlineStr">
        <is>
          <t>3B</t>
        </is>
      </c>
      <c r="E87" t="inlineStr">
        <is>
          <t>3C</t>
        </is>
      </c>
      <c r="F87" t="inlineStr">
        <is>
          <t>3I</t>
        </is>
      </c>
      <c r="G87" t="inlineStr">
        <is>
          <t>3F</t>
        </is>
      </c>
      <c r="H87" t="inlineStr">
        <is>
          <t>3L</t>
        </is>
      </c>
      <c r="I87" t="inlineStr">
        <is>
          <t>3K</t>
        </is>
      </c>
      <c r="J87" t="inlineStr">
        <is>
          <t>BCFGHIKL</t>
        </is>
      </c>
    </row>
    <row r="88">
      <c r="A88" t="n">
        <v>87</v>
      </c>
      <c r="B88" t="inlineStr">
        <is>
          <t>3H</t>
        </is>
      </c>
      <c r="C88" t="inlineStr">
        <is>
          <t>3G</t>
        </is>
      </c>
      <c r="D88" t="inlineStr">
        <is>
          <t>3B</t>
        </is>
      </c>
      <c r="E88" t="inlineStr">
        <is>
          <t>3C</t>
        </is>
      </c>
      <c r="F88" t="inlineStr">
        <is>
          <t>3J</t>
        </is>
      </c>
      <c r="G88" t="inlineStr">
        <is>
          <t>3F</t>
        </is>
      </c>
      <c r="H88" t="inlineStr">
        <is>
          <t>3L</t>
        </is>
      </c>
      <c r="I88" t="inlineStr">
        <is>
          <t>3I</t>
        </is>
      </c>
      <c r="J88" t="inlineStr">
        <is>
          <t>BCFGHIJL</t>
        </is>
      </c>
    </row>
    <row r="89">
      <c r="A89" t="n">
        <v>88</v>
      </c>
      <c r="B89" t="inlineStr">
        <is>
          <t>3H</t>
        </is>
      </c>
      <c r="C89" t="inlineStr">
        <is>
          <t>3G</t>
        </is>
      </c>
      <c r="D89" t="inlineStr">
        <is>
          <t>3B</t>
        </is>
      </c>
      <c r="E89" t="inlineStr">
        <is>
          <t>3C</t>
        </is>
      </c>
      <c r="F89" t="inlineStr">
        <is>
          <t>3J</t>
        </is>
      </c>
      <c r="G89" t="inlineStr">
        <is>
          <t>3F</t>
        </is>
      </c>
      <c r="H89" t="inlineStr">
        <is>
          <t>3I</t>
        </is>
      </c>
      <c r="I89" t="inlineStr">
        <is>
          <t>3K</t>
        </is>
      </c>
      <c r="J89" t="inlineStr">
        <is>
          <t>BCFGHIJK</t>
        </is>
      </c>
    </row>
    <row r="90">
      <c r="A90" t="n">
        <v>89</v>
      </c>
      <c r="B90" t="inlineStr">
        <is>
          <t>3E</t>
        </is>
      </c>
      <c r="C90" t="inlineStr">
        <is>
          <t>3J</t>
        </is>
      </c>
      <c r="D90" t="inlineStr">
        <is>
          <t>3B</t>
        </is>
      </c>
      <c r="E90" t="inlineStr">
        <is>
          <t>3C</t>
        </is>
      </c>
      <c r="F90" t="inlineStr">
        <is>
          <t>3I</t>
        </is>
      </c>
      <c r="G90" t="inlineStr">
        <is>
          <t>3H</t>
        </is>
      </c>
      <c r="H90" t="inlineStr">
        <is>
          <t>3L</t>
        </is>
      </c>
      <c r="I90" t="inlineStr">
        <is>
          <t>3K</t>
        </is>
      </c>
      <c r="J90" t="inlineStr">
        <is>
          <t>BCEHIJKL</t>
        </is>
      </c>
    </row>
    <row r="91">
      <c r="A91" t="n">
        <v>90</v>
      </c>
      <c r="B91" t="inlineStr">
        <is>
          <t>3E</t>
        </is>
      </c>
      <c r="C91" t="inlineStr">
        <is>
          <t>3J</t>
        </is>
      </c>
      <c r="D91" t="inlineStr">
        <is>
          <t>3B</t>
        </is>
      </c>
      <c r="E91" t="inlineStr">
        <is>
          <t>3C</t>
        </is>
      </c>
      <c r="F91" t="inlineStr">
        <is>
          <t>3I</t>
        </is>
      </c>
      <c r="G91" t="inlineStr">
        <is>
          <t>3G</t>
        </is>
      </c>
      <c r="H91" t="inlineStr">
        <is>
          <t>3L</t>
        </is>
      </c>
      <c r="I91" t="inlineStr">
        <is>
          <t>3K</t>
        </is>
      </c>
      <c r="J91" t="inlineStr">
        <is>
          <t>BCEGIJKL</t>
        </is>
      </c>
    </row>
    <row r="92">
      <c r="A92" t="n">
        <v>91</v>
      </c>
      <c r="B92" t="inlineStr">
        <is>
          <t>3E</t>
        </is>
      </c>
      <c r="C92" t="inlineStr">
        <is>
          <t>3J</t>
        </is>
      </c>
      <c r="D92" t="inlineStr">
        <is>
          <t>3B</t>
        </is>
      </c>
      <c r="E92" t="inlineStr">
        <is>
          <t>3C</t>
        </is>
      </c>
      <c r="F92" t="inlineStr">
        <is>
          <t>3H</t>
        </is>
      </c>
      <c r="G92" t="inlineStr">
        <is>
          <t>3G</t>
        </is>
      </c>
      <c r="H92" t="inlineStr">
        <is>
          <t>3L</t>
        </is>
      </c>
      <c r="I92" t="inlineStr">
        <is>
          <t>3K</t>
        </is>
      </c>
      <c r="J92" t="inlineStr">
        <is>
          <t>BCEGHJKL</t>
        </is>
      </c>
    </row>
    <row r="93">
      <c r="A93" t="n">
        <v>92</v>
      </c>
      <c r="B93" t="inlineStr">
        <is>
          <t>3E</t>
        </is>
      </c>
      <c r="C93" t="inlineStr">
        <is>
          <t>3G</t>
        </is>
      </c>
      <c r="D93" t="inlineStr">
        <is>
          <t>3B</t>
        </is>
      </c>
      <c r="E93" t="inlineStr">
        <is>
          <t>3C</t>
        </is>
      </c>
      <c r="F93" t="inlineStr">
        <is>
          <t>3I</t>
        </is>
      </c>
      <c r="G93" t="inlineStr">
        <is>
          <t>3H</t>
        </is>
      </c>
      <c r="H93" t="inlineStr">
        <is>
          <t>3L</t>
        </is>
      </c>
      <c r="I93" t="inlineStr">
        <is>
          <t>3K</t>
        </is>
      </c>
      <c r="J93" t="inlineStr">
        <is>
          <t>BCEGHIKL</t>
        </is>
      </c>
    </row>
    <row r="94">
      <c r="A94" t="n">
        <v>93</v>
      </c>
      <c r="B94" t="inlineStr">
        <is>
          <t>3E</t>
        </is>
      </c>
      <c r="C94" t="inlineStr">
        <is>
          <t>3J</t>
        </is>
      </c>
      <c r="D94" t="inlineStr">
        <is>
          <t>3B</t>
        </is>
      </c>
      <c r="E94" t="inlineStr">
        <is>
          <t>3C</t>
        </is>
      </c>
      <c r="F94" t="inlineStr">
        <is>
          <t>3H</t>
        </is>
      </c>
      <c r="G94" t="inlineStr">
        <is>
          <t>3G</t>
        </is>
      </c>
      <c r="H94" t="inlineStr">
        <is>
          <t>3L</t>
        </is>
      </c>
      <c r="I94" t="inlineStr">
        <is>
          <t>3I</t>
        </is>
      </c>
      <c r="J94" t="inlineStr">
        <is>
          <t>BCEGHIJL</t>
        </is>
      </c>
    </row>
    <row r="95">
      <c r="A95" t="n">
        <v>94</v>
      </c>
      <c r="B95" t="inlineStr">
        <is>
          <t>3E</t>
        </is>
      </c>
      <c r="C95" t="inlineStr">
        <is>
          <t>3J</t>
        </is>
      </c>
      <c r="D95" t="inlineStr">
        <is>
          <t>3B</t>
        </is>
      </c>
      <c r="E95" t="inlineStr">
        <is>
          <t>3C</t>
        </is>
      </c>
      <c r="F95" t="inlineStr">
        <is>
          <t>3H</t>
        </is>
      </c>
      <c r="G95" t="inlineStr">
        <is>
          <t>3G</t>
        </is>
      </c>
      <c r="H95" t="inlineStr">
        <is>
          <t>3I</t>
        </is>
      </c>
      <c r="I95" t="inlineStr">
        <is>
          <t>3K</t>
        </is>
      </c>
      <c r="J95" t="inlineStr">
        <is>
          <t>BCEGHIJK</t>
        </is>
      </c>
    </row>
    <row r="96">
      <c r="A96" t="n">
        <v>95</v>
      </c>
      <c r="B96" t="inlineStr">
        <is>
          <t>3E</t>
        </is>
      </c>
      <c r="C96" t="inlineStr">
        <is>
          <t>3J</t>
        </is>
      </c>
      <c r="D96" t="inlineStr">
        <is>
          <t>3B</t>
        </is>
      </c>
      <c r="E96" t="inlineStr">
        <is>
          <t>3C</t>
        </is>
      </c>
      <c r="F96" t="inlineStr">
        <is>
          <t>3I</t>
        </is>
      </c>
      <c r="G96" t="inlineStr">
        <is>
          <t>3F</t>
        </is>
      </c>
      <c r="H96" t="inlineStr">
        <is>
          <t>3L</t>
        </is>
      </c>
      <c r="I96" t="inlineStr">
        <is>
          <t>3K</t>
        </is>
      </c>
      <c r="J96" t="inlineStr">
        <is>
          <t>BCEFIJKL</t>
        </is>
      </c>
    </row>
    <row r="97">
      <c r="A97" t="n">
        <v>96</v>
      </c>
      <c r="B97" t="inlineStr">
        <is>
          <t>3E</t>
        </is>
      </c>
      <c r="C97" t="inlineStr">
        <is>
          <t>3J</t>
        </is>
      </c>
      <c r="D97" t="inlineStr">
        <is>
          <t>3B</t>
        </is>
      </c>
      <c r="E97" t="inlineStr">
        <is>
          <t>3C</t>
        </is>
      </c>
      <c r="F97" t="inlineStr">
        <is>
          <t>3H</t>
        </is>
      </c>
      <c r="G97" t="inlineStr">
        <is>
          <t>3F</t>
        </is>
      </c>
      <c r="H97" t="inlineStr">
        <is>
          <t>3L</t>
        </is>
      </c>
      <c r="I97" t="inlineStr">
        <is>
          <t>3K</t>
        </is>
      </c>
      <c r="J97" t="inlineStr">
        <is>
          <t>BCEFHJKL</t>
        </is>
      </c>
    </row>
    <row r="98">
      <c r="A98" t="n">
        <v>97</v>
      </c>
      <c r="B98" t="inlineStr">
        <is>
          <t>3E</t>
        </is>
      </c>
      <c r="C98" t="inlineStr">
        <is>
          <t>3I</t>
        </is>
      </c>
      <c r="D98" t="inlineStr">
        <is>
          <t>3B</t>
        </is>
      </c>
      <c r="E98" t="inlineStr">
        <is>
          <t>3C</t>
        </is>
      </c>
      <c r="F98" t="inlineStr">
        <is>
          <t>3H</t>
        </is>
      </c>
      <c r="G98" t="inlineStr">
        <is>
          <t>3F</t>
        </is>
      </c>
      <c r="H98" t="inlineStr">
        <is>
          <t>3L</t>
        </is>
      </c>
      <c r="I98" t="inlineStr">
        <is>
          <t>3K</t>
        </is>
      </c>
      <c r="J98" t="inlineStr">
        <is>
          <t>BCEFHIKL</t>
        </is>
      </c>
    </row>
    <row r="99">
      <c r="A99" t="n">
        <v>98</v>
      </c>
      <c r="B99" t="inlineStr">
        <is>
          <t>3E</t>
        </is>
      </c>
      <c r="C99" t="inlineStr">
        <is>
          <t>3J</t>
        </is>
      </c>
      <c r="D99" t="inlineStr">
        <is>
          <t>3B</t>
        </is>
      </c>
      <c r="E99" t="inlineStr">
        <is>
          <t>3C</t>
        </is>
      </c>
      <c r="F99" t="inlineStr">
        <is>
          <t>3H</t>
        </is>
      </c>
      <c r="G99" t="inlineStr">
        <is>
          <t>3F</t>
        </is>
      </c>
      <c r="H99" t="inlineStr">
        <is>
          <t>3L</t>
        </is>
      </c>
      <c r="I99" t="inlineStr">
        <is>
          <t>3I</t>
        </is>
      </c>
      <c r="J99" t="inlineStr">
        <is>
          <t>BCEFHIJL</t>
        </is>
      </c>
    </row>
    <row r="100">
      <c r="A100" t="n">
        <v>99</v>
      </c>
      <c r="B100" t="inlineStr">
        <is>
          <t>3E</t>
        </is>
      </c>
      <c r="C100" t="inlineStr">
        <is>
          <t>3J</t>
        </is>
      </c>
      <c r="D100" t="inlineStr">
        <is>
          <t>3B</t>
        </is>
      </c>
      <c r="E100" t="inlineStr">
        <is>
          <t>3C</t>
        </is>
      </c>
      <c r="F100" t="inlineStr">
        <is>
          <t>3H</t>
        </is>
      </c>
      <c r="G100" t="inlineStr">
        <is>
          <t>3F</t>
        </is>
      </c>
      <c r="H100" t="inlineStr">
        <is>
          <t>3I</t>
        </is>
      </c>
      <c r="I100" t="inlineStr">
        <is>
          <t>3K</t>
        </is>
      </c>
      <c r="J100" t="inlineStr">
        <is>
          <t>BCEFHIJK</t>
        </is>
      </c>
    </row>
    <row r="101">
      <c r="A101" t="n">
        <v>100</v>
      </c>
      <c r="B101" t="inlineStr">
        <is>
          <t>3E</t>
        </is>
      </c>
      <c r="C101" t="inlineStr">
        <is>
          <t>3G</t>
        </is>
      </c>
      <c r="D101" t="inlineStr">
        <is>
          <t>3B</t>
        </is>
      </c>
      <c r="E101" t="inlineStr">
        <is>
          <t>3C</t>
        </is>
      </c>
      <c r="F101" t="inlineStr">
        <is>
          <t>3J</t>
        </is>
      </c>
      <c r="G101" t="inlineStr">
        <is>
          <t>3F</t>
        </is>
      </c>
      <c r="H101" t="inlineStr">
        <is>
          <t>3L</t>
        </is>
      </c>
      <c r="I101" t="inlineStr">
        <is>
          <t>3K</t>
        </is>
      </c>
      <c r="J101" t="inlineStr">
        <is>
          <t>BCEFGJKL</t>
        </is>
      </c>
    </row>
    <row r="102">
      <c r="A102" t="n">
        <v>101</v>
      </c>
      <c r="B102" t="inlineStr">
        <is>
          <t>3E</t>
        </is>
      </c>
      <c r="C102" t="inlineStr">
        <is>
          <t>3G</t>
        </is>
      </c>
      <c r="D102" t="inlineStr">
        <is>
          <t>3B</t>
        </is>
      </c>
      <c r="E102" t="inlineStr">
        <is>
          <t>3C</t>
        </is>
      </c>
      <c r="F102" t="inlineStr">
        <is>
          <t>3I</t>
        </is>
      </c>
      <c r="G102" t="inlineStr">
        <is>
          <t>3F</t>
        </is>
      </c>
      <c r="H102" t="inlineStr">
        <is>
          <t>3L</t>
        </is>
      </c>
      <c r="I102" t="inlineStr">
        <is>
          <t>3K</t>
        </is>
      </c>
      <c r="J102" t="inlineStr">
        <is>
          <t>BCEFGIKL</t>
        </is>
      </c>
    </row>
    <row r="103">
      <c r="A103" t="n">
        <v>102</v>
      </c>
      <c r="B103" t="inlineStr">
        <is>
          <t>3E</t>
        </is>
      </c>
      <c r="C103" t="inlineStr">
        <is>
          <t>3G</t>
        </is>
      </c>
      <c r="D103" t="inlineStr">
        <is>
          <t>3B</t>
        </is>
      </c>
      <c r="E103" t="inlineStr">
        <is>
          <t>3C</t>
        </is>
      </c>
      <c r="F103" t="inlineStr">
        <is>
          <t>3J</t>
        </is>
      </c>
      <c r="G103" t="inlineStr">
        <is>
          <t>3F</t>
        </is>
      </c>
      <c r="H103" t="inlineStr">
        <is>
          <t>3L</t>
        </is>
      </c>
      <c r="I103" t="inlineStr">
        <is>
          <t>3I</t>
        </is>
      </c>
      <c r="J103" t="inlineStr">
        <is>
          <t>BCEFGIJL</t>
        </is>
      </c>
    </row>
    <row r="104">
      <c r="A104" t="n">
        <v>103</v>
      </c>
      <c r="B104" t="inlineStr">
        <is>
          <t>3E</t>
        </is>
      </c>
      <c r="C104" t="inlineStr">
        <is>
          <t>3G</t>
        </is>
      </c>
      <c r="D104" t="inlineStr">
        <is>
          <t>3B</t>
        </is>
      </c>
      <c r="E104" t="inlineStr">
        <is>
          <t>3C</t>
        </is>
      </c>
      <c r="F104" t="inlineStr">
        <is>
          <t>3J</t>
        </is>
      </c>
      <c r="G104" t="inlineStr">
        <is>
          <t>3F</t>
        </is>
      </c>
      <c r="H104" t="inlineStr">
        <is>
          <t>3I</t>
        </is>
      </c>
      <c r="I104" t="inlineStr">
        <is>
          <t>3K</t>
        </is>
      </c>
      <c r="J104" t="inlineStr">
        <is>
          <t>BCEFGIJK</t>
        </is>
      </c>
    </row>
    <row r="105">
      <c r="A105" t="n">
        <v>104</v>
      </c>
      <c r="B105" t="inlineStr">
        <is>
          <t>3E</t>
        </is>
      </c>
      <c r="C105" t="inlineStr">
        <is>
          <t>3G</t>
        </is>
      </c>
      <c r="D105" t="inlineStr">
        <is>
          <t>3B</t>
        </is>
      </c>
      <c r="E105" t="inlineStr">
        <is>
          <t>3C</t>
        </is>
      </c>
      <c r="F105" t="inlineStr">
        <is>
          <t>3H</t>
        </is>
      </c>
      <c r="G105" t="inlineStr">
        <is>
          <t>3F</t>
        </is>
      </c>
      <c r="H105" t="inlineStr">
        <is>
          <t>3L</t>
        </is>
      </c>
      <c r="I105" t="inlineStr">
        <is>
          <t>3K</t>
        </is>
      </c>
      <c r="J105" t="inlineStr">
        <is>
          <t>BCEFGHKL</t>
        </is>
      </c>
    </row>
    <row r="106">
      <c r="A106" t="n">
        <v>105</v>
      </c>
      <c r="B106" t="inlineStr">
        <is>
          <t>3H</t>
        </is>
      </c>
      <c r="C106" t="inlineStr">
        <is>
          <t>3G</t>
        </is>
      </c>
      <c r="D106" t="inlineStr">
        <is>
          <t>3B</t>
        </is>
      </c>
      <c r="E106" t="inlineStr">
        <is>
          <t>3C</t>
        </is>
      </c>
      <c r="F106" t="inlineStr">
        <is>
          <t>3J</t>
        </is>
      </c>
      <c r="G106" t="inlineStr">
        <is>
          <t>3F</t>
        </is>
      </c>
      <c r="H106" t="inlineStr">
        <is>
          <t>3L</t>
        </is>
      </c>
      <c r="I106" t="inlineStr">
        <is>
          <t>3E</t>
        </is>
      </c>
      <c r="J106" t="inlineStr">
        <is>
          <t>BCEFGHJL</t>
        </is>
      </c>
    </row>
    <row r="107">
      <c r="A107" t="n">
        <v>106</v>
      </c>
      <c r="B107" t="inlineStr">
        <is>
          <t>3H</t>
        </is>
      </c>
      <c r="C107" t="inlineStr">
        <is>
          <t>3G</t>
        </is>
      </c>
      <c r="D107" t="inlineStr">
        <is>
          <t>3B</t>
        </is>
      </c>
      <c r="E107" t="inlineStr">
        <is>
          <t>3C</t>
        </is>
      </c>
      <c r="F107" t="inlineStr">
        <is>
          <t>3J</t>
        </is>
      </c>
      <c r="G107" t="inlineStr">
        <is>
          <t>3F</t>
        </is>
      </c>
      <c r="H107" t="inlineStr">
        <is>
          <t>3E</t>
        </is>
      </c>
      <c r="I107" t="inlineStr">
        <is>
          <t>3K</t>
        </is>
      </c>
      <c r="J107" t="inlineStr">
        <is>
          <t>BCEFGHJK</t>
        </is>
      </c>
    </row>
    <row r="108">
      <c r="A108" t="n">
        <v>107</v>
      </c>
      <c r="B108" t="inlineStr">
        <is>
          <t>3E</t>
        </is>
      </c>
      <c r="C108" t="inlineStr">
        <is>
          <t>3G</t>
        </is>
      </c>
      <c r="D108" t="inlineStr">
        <is>
          <t>3B</t>
        </is>
      </c>
      <c r="E108" t="inlineStr">
        <is>
          <t>3C</t>
        </is>
      </c>
      <c r="F108" t="inlineStr">
        <is>
          <t>3H</t>
        </is>
      </c>
      <c r="G108" t="inlineStr">
        <is>
          <t>3F</t>
        </is>
      </c>
      <c r="H108" t="inlineStr">
        <is>
          <t>3L</t>
        </is>
      </c>
      <c r="I108" t="inlineStr">
        <is>
          <t>3I</t>
        </is>
      </c>
      <c r="J108" t="inlineStr">
        <is>
          <t>BCEFGHIL</t>
        </is>
      </c>
    </row>
    <row r="109">
      <c r="A109" t="n">
        <v>108</v>
      </c>
      <c r="B109" t="inlineStr">
        <is>
          <t>3E</t>
        </is>
      </c>
      <c r="C109" t="inlineStr">
        <is>
          <t>3G</t>
        </is>
      </c>
      <c r="D109" t="inlineStr">
        <is>
          <t>3B</t>
        </is>
      </c>
      <c r="E109" t="inlineStr">
        <is>
          <t>3C</t>
        </is>
      </c>
      <c r="F109" t="inlineStr">
        <is>
          <t>3H</t>
        </is>
      </c>
      <c r="G109" t="inlineStr">
        <is>
          <t>3F</t>
        </is>
      </c>
      <c r="H109" t="inlineStr">
        <is>
          <t>3I</t>
        </is>
      </c>
      <c r="I109" t="inlineStr">
        <is>
          <t>3K</t>
        </is>
      </c>
      <c r="J109" t="inlineStr">
        <is>
          <t>BCEFGHIK</t>
        </is>
      </c>
    </row>
    <row r="110">
      <c r="A110" t="n">
        <v>109</v>
      </c>
      <c r="B110" t="inlineStr">
        <is>
          <t>3H</t>
        </is>
      </c>
      <c r="C110" t="inlineStr">
        <is>
          <t>3G</t>
        </is>
      </c>
      <c r="D110" t="inlineStr">
        <is>
          <t>3B</t>
        </is>
      </c>
      <c r="E110" t="inlineStr">
        <is>
          <t>3C</t>
        </is>
      </c>
      <c r="F110" t="inlineStr">
        <is>
          <t>3J</t>
        </is>
      </c>
      <c r="G110" t="inlineStr">
        <is>
          <t>3F</t>
        </is>
      </c>
      <c r="H110" t="inlineStr">
        <is>
          <t>3E</t>
        </is>
      </c>
      <c r="I110" t="inlineStr">
        <is>
          <t>3I</t>
        </is>
      </c>
      <c r="J110" t="inlineStr">
        <is>
          <t>BCEFGHIJ</t>
        </is>
      </c>
    </row>
    <row r="111">
      <c r="A111" t="n">
        <v>110</v>
      </c>
      <c r="B111" t="inlineStr">
        <is>
          <t>3H</t>
        </is>
      </c>
      <c r="C111" t="inlineStr">
        <is>
          <t>3J</t>
        </is>
      </c>
      <c r="D111" t="inlineStr">
        <is>
          <t>3B</t>
        </is>
      </c>
      <c r="E111" t="inlineStr">
        <is>
          <t>3C</t>
        </is>
      </c>
      <c r="F111" t="inlineStr">
        <is>
          <t>3I</t>
        </is>
      </c>
      <c r="G111" t="inlineStr">
        <is>
          <t>3D</t>
        </is>
      </c>
      <c r="H111" t="inlineStr">
        <is>
          <t>3L</t>
        </is>
      </c>
      <c r="I111" t="inlineStr">
        <is>
          <t>3K</t>
        </is>
      </c>
      <c r="J111" t="inlineStr">
        <is>
          <t>BCDHIJKL</t>
        </is>
      </c>
    </row>
    <row r="112">
      <c r="A112" t="n">
        <v>111</v>
      </c>
      <c r="B112" t="inlineStr">
        <is>
          <t>3I</t>
        </is>
      </c>
      <c r="C112" t="inlineStr">
        <is>
          <t>3G</t>
        </is>
      </c>
      <c r="D112" t="inlineStr">
        <is>
          <t>3B</t>
        </is>
      </c>
      <c r="E112" t="inlineStr">
        <is>
          <t>3C</t>
        </is>
      </c>
      <c r="F112" t="inlineStr">
        <is>
          <t>3J</t>
        </is>
      </c>
      <c r="G112" t="inlineStr">
        <is>
          <t>3D</t>
        </is>
      </c>
      <c r="H112" t="inlineStr">
        <is>
          <t>3L</t>
        </is>
      </c>
      <c r="I112" t="inlineStr">
        <is>
          <t>3K</t>
        </is>
      </c>
      <c r="J112" t="inlineStr">
        <is>
          <t>BCDGIJKL</t>
        </is>
      </c>
    </row>
    <row r="113">
      <c r="A113" t="n">
        <v>112</v>
      </c>
      <c r="B113" t="inlineStr">
        <is>
          <t>3H</t>
        </is>
      </c>
      <c r="C113" t="inlineStr">
        <is>
          <t>3G</t>
        </is>
      </c>
      <c r="D113" t="inlineStr">
        <is>
          <t>3B</t>
        </is>
      </c>
      <c r="E113" t="inlineStr">
        <is>
          <t>3C</t>
        </is>
      </c>
      <c r="F113" t="inlineStr">
        <is>
          <t>3J</t>
        </is>
      </c>
      <c r="G113" t="inlineStr">
        <is>
          <t>3D</t>
        </is>
      </c>
      <c r="H113" t="inlineStr">
        <is>
          <t>3L</t>
        </is>
      </c>
      <c r="I113" t="inlineStr">
        <is>
          <t>3K</t>
        </is>
      </c>
      <c r="J113" t="inlineStr">
        <is>
          <t>BCDGHJKL</t>
        </is>
      </c>
    </row>
    <row r="114">
      <c r="A114" t="n">
        <v>113</v>
      </c>
      <c r="B114" t="inlineStr">
        <is>
          <t>3H</t>
        </is>
      </c>
      <c r="C114" t="inlineStr">
        <is>
          <t>3G</t>
        </is>
      </c>
      <c r="D114" t="inlineStr">
        <is>
          <t>3B</t>
        </is>
      </c>
      <c r="E114" t="inlineStr">
        <is>
          <t>3C</t>
        </is>
      </c>
      <c r="F114" t="inlineStr">
        <is>
          <t>3I</t>
        </is>
      </c>
      <c r="G114" t="inlineStr">
        <is>
          <t>3D</t>
        </is>
      </c>
      <c r="H114" t="inlineStr">
        <is>
          <t>3L</t>
        </is>
      </c>
      <c r="I114" t="inlineStr">
        <is>
          <t>3K</t>
        </is>
      </c>
      <c r="J114" t="inlineStr">
        <is>
          <t>BCDGHIKL</t>
        </is>
      </c>
    </row>
    <row r="115">
      <c r="A115" t="n">
        <v>114</v>
      </c>
      <c r="B115" t="inlineStr">
        <is>
          <t>3H</t>
        </is>
      </c>
      <c r="C115" t="inlineStr">
        <is>
          <t>3G</t>
        </is>
      </c>
      <c r="D115" t="inlineStr">
        <is>
          <t>3B</t>
        </is>
      </c>
      <c r="E115" t="inlineStr">
        <is>
          <t>3C</t>
        </is>
      </c>
      <c r="F115" t="inlineStr">
        <is>
          <t>3J</t>
        </is>
      </c>
      <c r="G115" t="inlineStr">
        <is>
          <t>3D</t>
        </is>
      </c>
      <c r="H115" t="inlineStr">
        <is>
          <t>3L</t>
        </is>
      </c>
      <c r="I115" t="inlineStr">
        <is>
          <t>3I</t>
        </is>
      </c>
      <c r="J115" t="inlineStr">
        <is>
          <t>BCDGHIJL</t>
        </is>
      </c>
    </row>
    <row r="116">
      <c r="A116" t="n">
        <v>115</v>
      </c>
      <c r="B116" t="inlineStr">
        <is>
          <t>3H</t>
        </is>
      </c>
      <c r="C116" t="inlineStr">
        <is>
          <t>3G</t>
        </is>
      </c>
      <c r="D116" t="inlineStr">
        <is>
          <t>3B</t>
        </is>
      </c>
      <c r="E116" t="inlineStr">
        <is>
          <t>3C</t>
        </is>
      </c>
      <c r="F116" t="inlineStr">
        <is>
          <t>3J</t>
        </is>
      </c>
      <c r="G116" t="inlineStr">
        <is>
          <t>3D</t>
        </is>
      </c>
      <c r="H116" t="inlineStr">
        <is>
          <t>3I</t>
        </is>
      </c>
      <c r="I116" t="inlineStr">
        <is>
          <t>3K</t>
        </is>
      </c>
      <c r="J116" t="inlineStr">
        <is>
          <t>BCDGHIJK</t>
        </is>
      </c>
    </row>
    <row r="117">
      <c r="A117" t="n">
        <v>116</v>
      </c>
      <c r="B117" t="inlineStr">
        <is>
          <t>3C</t>
        </is>
      </c>
      <c r="C117" t="inlineStr">
        <is>
          <t>3J</t>
        </is>
      </c>
      <c r="D117" t="inlineStr">
        <is>
          <t>3B</t>
        </is>
      </c>
      <c r="E117" t="inlineStr">
        <is>
          <t>3D</t>
        </is>
      </c>
      <c r="F117" t="inlineStr">
        <is>
          <t>3I</t>
        </is>
      </c>
      <c r="G117" t="inlineStr">
        <is>
          <t>3F</t>
        </is>
      </c>
      <c r="H117" t="inlineStr">
        <is>
          <t>3L</t>
        </is>
      </c>
      <c r="I117" t="inlineStr">
        <is>
          <t>3K</t>
        </is>
      </c>
      <c r="J117" t="inlineStr">
        <is>
          <t>BCDFIJKL</t>
        </is>
      </c>
    </row>
    <row r="118">
      <c r="A118" t="n">
        <v>117</v>
      </c>
      <c r="B118" t="inlineStr">
        <is>
          <t>3C</t>
        </is>
      </c>
      <c r="C118" t="inlineStr">
        <is>
          <t>3J</t>
        </is>
      </c>
      <c r="D118" t="inlineStr">
        <is>
          <t>3B</t>
        </is>
      </c>
      <c r="E118" t="inlineStr">
        <is>
          <t>3D</t>
        </is>
      </c>
      <c r="F118" t="inlineStr">
        <is>
          <t>3H</t>
        </is>
      </c>
      <c r="G118" t="inlineStr">
        <is>
          <t>3F</t>
        </is>
      </c>
      <c r="H118" t="inlineStr">
        <is>
          <t>3L</t>
        </is>
      </c>
      <c r="I118" t="inlineStr">
        <is>
          <t>3K</t>
        </is>
      </c>
      <c r="J118" t="inlineStr">
        <is>
          <t>BCDFHJKL</t>
        </is>
      </c>
    </row>
    <row r="119">
      <c r="A119" t="n">
        <v>118</v>
      </c>
      <c r="B119" t="inlineStr">
        <is>
          <t>3C</t>
        </is>
      </c>
      <c r="C119" t="inlineStr">
        <is>
          <t>3I</t>
        </is>
      </c>
      <c r="D119" t="inlineStr">
        <is>
          <t>3B</t>
        </is>
      </c>
      <c r="E119" t="inlineStr">
        <is>
          <t>3D</t>
        </is>
      </c>
      <c r="F119" t="inlineStr">
        <is>
          <t>3H</t>
        </is>
      </c>
      <c r="G119" t="inlineStr">
        <is>
          <t>3F</t>
        </is>
      </c>
      <c r="H119" t="inlineStr">
        <is>
          <t>3L</t>
        </is>
      </c>
      <c r="I119" t="inlineStr">
        <is>
          <t>3K</t>
        </is>
      </c>
      <c r="J119" t="inlineStr">
        <is>
          <t>BCDFHIKL</t>
        </is>
      </c>
    </row>
    <row r="120">
      <c r="A120" t="n">
        <v>119</v>
      </c>
      <c r="B120" t="inlineStr">
        <is>
          <t>3C</t>
        </is>
      </c>
      <c r="C120" t="inlineStr">
        <is>
          <t>3J</t>
        </is>
      </c>
      <c r="D120" t="inlineStr">
        <is>
          <t>3B</t>
        </is>
      </c>
      <c r="E120" t="inlineStr">
        <is>
          <t>3D</t>
        </is>
      </c>
      <c r="F120" t="inlineStr">
        <is>
          <t>3H</t>
        </is>
      </c>
      <c r="G120" t="inlineStr">
        <is>
          <t>3F</t>
        </is>
      </c>
      <c r="H120" t="inlineStr">
        <is>
          <t>3L</t>
        </is>
      </c>
      <c r="I120" t="inlineStr">
        <is>
          <t>3I</t>
        </is>
      </c>
      <c r="J120" t="inlineStr">
        <is>
          <t>BCDFHIJL</t>
        </is>
      </c>
    </row>
    <row r="121">
      <c r="A121" t="n">
        <v>120</v>
      </c>
      <c r="B121" t="inlineStr">
        <is>
          <t>3C</t>
        </is>
      </c>
      <c r="C121" t="inlineStr">
        <is>
          <t>3J</t>
        </is>
      </c>
      <c r="D121" t="inlineStr">
        <is>
          <t>3B</t>
        </is>
      </c>
      <c r="E121" t="inlineStr">
        <is>
          <t>3D</t>
        </is>
      </c>
      <c r="F121" t="inlineStr">
        <is>
          <t>3H</t>
        </is>
      </c>
      <c r="G121" t="inlineStr">
        <is>
          <t>3F</t>
        </is>
      </c>
      <c r="H121" t="inlineStr">
        <is>
          <t>3I</t>
        </is>
      </c>
      <c r="I121" t="inlineStr">
        <is>
          <t>3K</t>
        </is>
      </c>
      <c r="J121" t="inlineStr">
        <is>
          <t>BCDFHIJK</t>
        </is>
      </c>
    </row>
    <row r="122">
      <c r="A122" t="n">
        <v>121</v>
      </c>
      <c r="B122" t="inlineStr">
        <is>
          <t>3C</t>
        </is>
      </c>
      <c r="C122" t="inlineStr">
        <is>
          <t>3G</t>
        </is>
      </c>
      <c r="D122" t="inlineStr">
        <is>
          <t>3B</t>
        </is>
      </c>
      <c r="E122" t="inlineStr">
        <is>
          <t>3D</t>
        </is>
      </c>
      <c r="F122" t="inlineStr">
        <is>
          <t>3J</t>
        </is>
      </c>
      <c r="G122" t="inlineStr">
        <is>
          <t>3F</t>
        </is>
      </c>
      <c r="H122" t="inlineStr">
        <is>
          <t>3L</t>
        </is>
      </c>
      <c r="I122" t="inlineStr">
        <is>
          <t>3K</t>
        </is>
      </c>
      <c r="J122" t="inlineStr">
        <is>
          <t>BCDFGJKL</t>
        </is>
      </c>
    </row>
    <row r="123">
      <c r="A123" t="n">
        <v>122</v>
      </c>
      <c r="B123" t="inlineStr">
        <is>
          <t>3C</t>
        </is>
      </c>
      <c r="C123" t="inlineStr">
        <is>
          <t>3G</t>
        </is>
      </c>
      <c r="D123" t="inlineStr">
        <is>
          <t>3B</t>
        </is>
      </c>
      <c r="E123" t="inlineStr">
        <is>
          <t>3D</t>
        </is>
      </c>
      <c r="F123" t="inlineStr">
        <is>
          <t>3I</t>
        </is>
      </c>
      <c r="G123" t="inlineStr">
        <is>
          <t>3F</t>
        </is>
      </c>
      <c r="H123" t="inlineStr">
        <is>
          <t>3L</t>
        </is>
      </c>
      <c r="I123" t="inlineStr">
        <is>
          <t>3K</t>
        </is>
      </c>
      <c r="J123" t="inlineStr">
        <is>
          <t>BCDFGIKL</t>
        </is>
      </c>
    </row>
    <row r="124">
      <c r="A124" t="n">
        <v>123</v>
      </c>
      <c r="B124" t="inlineStr">
        <is>
          <t>3C</t>
        </is>
      </c>
      <c r="C124" t="inlineStr">
        <is>
          <t>3G</t>
        </is>
      </c>
      <c r="D124" t="inlineStr">
        <is>
          <t>3B</t>
        </is>
      </c>
      <c r="E124" t="inlineStr">
        <is>
          <t>3D</t>
        </is>
      </c>
      <c r="F124" t="inlineStr">
        <is>
          <t>3J</t>
        </is>
      </c>
      <c r="G124" t="inlineStr">
        <is>
          <t>3F</t>
        </is>
      </c>
      <c r="H124" t="inlineStr">
        <is>
          <t>3L</t>
        </is>
      </c>
      <c r="I124" t="inlineStr">
        <is>
          <t>3I</t>
        </is>
      </c>
      <c r="J124" t="inlineStr">
        <is>
          <t>BCDFGIJL</t>
        </is>
      </c>
    </row>
    <row r="125">
      <c r="A125" t="n">
        <v>124</v>
      </c>
      <c r="B125" t="inlineStr">
        <is>
          <t>3C</t>
        </is>
      </c>
      <c r="C125" t="inlineStr">
        <is>
          <t>3G</t>
        </is>
      </c>
      <c r="D125" t="inlineStr">
        <is>
          <t>3B</t>
        </is>
      </c>
      <c r="E125" t="inlineStr">
        <is>
          <t>3D</t>
        </is>
      </c>
      <c r="F125" t="inlineStr">
        <is>
          <t>3J</t>
        </is>
      </c>
      <c r="G125" t="inlineStr">
        <is>
          <t>3F</t>
        </is>
      </c>
      <c r="H125" t="inlineStr">
        <is>
          <t>3I</t>
        </is>
      </c>
      <c r="I125" t="inlineStr">
        <is>
          <t>3K</t>
        </is>
      </c>
      <c r="J125" t="inlineStr">
        <is>
          <t>BCDFGIJK</t>
        </is>
      </c>
    </row>
    <row r="126">
      <c r="A126" t="n">
        <v>125</v>
      </c>
      <c r="B126" t="inlineStr">
        <is>
          <t>3C</t>
        </is>
      </c>
      <c r="C126" t="inlineStr">
        <is>
          <t>3G</t>
        </is>
      </c>
      <c r="D126" t="inlineStr">
        <is>
          <t>3B</t>
        </is>
      </c>
      <c r="E126" t="inlineStr">
        <is>
          <t>3D</t>
        </is>
      </c>
      <c r="F126" t="inlineStr">
        <is>
          <t>3H</t>
        </is>
      </c>
      <c r="G126" t="inlineStr">
        <is>
          <t>3F</t>
        </is>
      </c>
      <c r="H126" t="inlineStr">
        <is>
          <t>3L</t>
        </is>
      </c>
      <c r="I126" t="inlineStr">
        <is>
          <t>3K</t>
        </is>
      </c>
      <c r="J126" t="inlineStr">
        <is>
          <t>BCDFGHKL</t>
        </is>
      </c>
    </row>
    <row r="127">
      <c r="A127" t="n">
        <v>126</v>
      </c>
      <c r="B127" t="inlineStr">
        <is>
          <t>3C</t>
        </is>
      </c>
      <c r="C127" t="inlineStr">
        <is>
          <t>3G</t>
        </is>
      </c>
      <c r="D127" t="inlineStr">
        <is>
          <t>3B</t>
        </is>
      </c>
      <c r="E127" t="inlineStr">
        <is>
          <t>3D</t>
        </is>
      </c>
      <c r="F127" t="inlineStr">
        <is>
          <t>3H</t>
        </is>
      </c>
      <c r="G127" t="inlineStr">
        <is>
          <t>3F</t>
        </is>
      </c>
      <c r="H127" t="inlineStr">
        <is>
          <t>3L</t>
        </is>
      </c>
      <c r="I127" t="inlineStr">
        <is>
          <t>3J</t>
        </is>
      </c>
      <c r="J127" t="inlineStr">
        <is>
          <t>BCDFGHJL</t>
        </is>
      </c>
    </row>
    <row r="128">
      <c r="A128" t="n">
        <v>127</v>
      </c>
      <c r="B128" t="inlineStr">
        <is>
          <t>3H</t>
        </is>
      </c>
      <c r="C128" t="inlineStr">
        <is>
          <t>3G</t>
        </is>
      </c>
      <c r="D128" t="inlineStr">
        <is>
          <t>3B</t>
        </is>
      </c>
      <c r="E128" t="inlineStr">
        <is>
          <t>3C</t>
        </is>
      </c>
      <c r="F128" t="inlineStr">
        <is>
          <t>3J</t>
        </is>
      </c>
      <c r="G128" t="inlineStr">
        <is>
          <t>3F</t>
        </is>
      </c>
      <c r="H128" t="inlineStr">
        <is>
          <t>3D</t>
        </is>
      </c>
      <c r="I128" t="inlineStr">
        <is>
          <t>3K</t>
        </is>
      </c>
      <c r="J128" t="inlineStr">
        <is>
          <t>BCDFGHJK</t>
        </is>
      </c>
    </row>
    <row r="129">
      <c r="A129" t="n">
        <v>128</v>
      </c>
      <c r="B129" t="inlineStr">
        <is>
          <t>3C</t>
        </is>
      </c>
      <c r="C129" t="inlineStr">
        <is>
          <t>3G</t>
        </is>
      </c>
      <c r="D129" t="inlineStr">
        <is>
          <t>3B</t>
        </is>
      </c>
      <c r="E129" t="inlineStr">
        <is>
          <t>3D</t>
        </is>
      </c>
      <c r="F129" t="inlineStr">
        <is>
          <t>3H</t>
        </is>
      </c>
      <c r="G129" t="inlineStr">
        <is>
          <t>3F</t>
        </is>
      </c>
      <c r="H129" t="inlineStr">
        <is>
          <t>3L</t>
        </is>
      </c>
      <c r="I129" t="inlineStr">
        <is>
          <t>3I</t>
        </is>
      </c>
      <c r="J129" t="inlineStr">
        <is>
          <t>BCDFGHIL</t>
        </is>
      </c>
    </row>
    <row r="130">
      <c r="A130" t="n">
        <v>129</v>
      </c>
      <c r="B130" t="inlineStr">
        <is>
          <t>3C</t>
        </is>
      </c>
      <c r="C130" t="inlineStr">
        <is>
          <t>3G</t>
        </is>
      </c>
      <c r="D130" t="inlineStr">
        <is>
          <t>3B</t>
        </is>
      </c>
      <c r="E130" t="inlineStr">
        <is>
          <t>3D</t>
        </is>
      </c>
      <c r="F130" t="inlineStr">
        <is>
          <t>3H</t>
        </is>
      </c>
      <c r="G130" t="inlineStr">
        <is>
          <t>3F</t>
        </is>
      </c>
      <c r="H130" t="inlineStr">
        <is>
          <t>3I</t>
        </is>
      </c>
      <c r="I130" t="inlineStr">
        <is>
          <t>3K</t>
        </is>
      </c>
      <c r="J130" t="inlineStr">
        <is>
          <t>BCDFGHIK</t>
        </is>
      </c>
    </row>
    <row r="131">
      <c r="A131" t="n">
        <v>130</v>
      </c>
      <c r="B131" t="inlineStr">
        <is>
          <t>3H</t>
        </is>
      </c>
      <c r="C131" t="inlineStr">
        <is>
          <t>3G</t>
        </is>
      </c>
      <c r="D131" t="inlineStr">
        <is>
          <t>3B</t>
        </is>
      </c>
      <c r="E131" t="inlineStr">
        <is>
          <t>3C</t>
        </is>
      </c>
      <c r="F131" t="inlineStr">
        <is>
          <t>3J</t>
        </is>
      </c>
      <c r="G131" t="inlineStr">
        <is>
          <t>3F</t>
        </is>
      </c>
      <c r="H131" t="inlineStr">
        <is>
          <t>3D</t>
        </is>
      </c>
      <c r="I131" t="inlineStr">
        <is>
          <t>3I</t>
        </is>
      </c>
      <c r="J131" t="inlineStr">
        <is>
          <t>BCDFGHIJ</t>
        </is>
      </c>
    </row>
    <row r="132">
      <c r="A132" t="n">
        <v>131</v>
      </c>
      <c r="B132" t="inlineStr">
        <is>
          <t>3E</t>
        </is>
      </c>
      <c r="C132" t="inlineStr">
        <is>
          <t>3J</t>
        </is>
      </c>
      <c r="D132" t="inlineStr">
        <is>
          <t>3B</t>
        </is>
      </c>
      <c r="E132" t="inlineStr">
        <is>
          <t>3C</t>
        </is>
      </c>
      <c r="F132" t="inlineStr">
        <is>
          <t>3I</t>
        </is>
      </c>
      <c r="G132" t="inlineStr">
        <is>
          <t>3D</t>
        </is>
      </c>
      <c r="H132" t="inlineStr">
        <is>
          <t>3L</t>
        </is>
      </c>
      <c r="I132" t="inlineStr">
        <is>
          <t>3K</t>
        </is>
      </c>
      <c r="J132" t="inlineStr">
        <is>
          <t>BCDEIJKL</t>
        </is>
      </c>
    </row>
    <row r="133">
      <c r="A133" t="n">
        <v>132</v>
      </c>
      <c r="B133" t="inlineStr">
        <is>
          <t>3E</t>
        </is>
      </c>
      <c r="C133" t="inlineStr">
        <is>
          <t>3J</t>
        </is>
      </c>
      <c r="D133" t="inlineStr">
        <is>
          <t>3B</t>
        </is>
      </c>
      <c r="E133" t="inlineStr">
        <is>
          <t>3C</t>
        </is>
      </c>
      <c r="F133" t="inlineStr">
        <is>
          <t>3H</t>
        </is>
      </c>
      <c r="G133" t="inlineStr">
        <is>
          <t>3D</t>
        </is>
      </c>
      <c r="H133" t="inlineStr">
        <is>
          <t>3L</t>
        </is>
      </c>
      <c r="I133" t="inlineStr">
        <is>
          <t>3K</t>
        </is>
      </c>
      <c r="J133" t="inlineStr">
        <is>
          <t>BCDEHJKL</t>
        </is>
      </c>
    </row>
    <row r="134">
      <c r="A134" t="n">
        <v>133</v>
      </c>
      <c r="B134" t="inlineStr">
        <is>
          <t>3E</t>
        </is>
      </c>
      <c r="C134" t="inlineStr">
        <is>
          <t>3I</t>
        </is>
      </c>
      <c r="D134" t="inlineStr">
        <is>
          <t>3B</t>
        </is>
      </c>
      <c r="E134" t="inlineStr">
        <is>
          <t>3C</t>
        </is>
      </c>
      <c r="F134" t="inlineStr">
        <is>
          <t>3H</t>
        </is>
      </c>
      <c r="G134" t="inlineStr">
        <is>
          <t>3D</t>
        </is>
      </c>
      <c r="H134" t="inlineStr">
        <is>
          <t>3L</t>
        </is>
      </c>
      <c r="I134" t="inlineStr">
        <is>
          <t>3K</t>
        </is>
      </c>
      <c r="J134" t="inlineStr">
        <is>
          <t>BCDEHIKL</t>
        </is>
      </c>
    </row>
    <row r="135">
      <c r="A135" t="n">
        <v>134</v>
      </c>
      <c r="B135" t="inlineStr">
        <is>
          <t>3E</t>
        </is>
      </c>
      <c r="C135" t="inlineStr">
        <is>
          <t>3J</t>
        </is>
      </c>
      <c r="D135" t="inlineStr">
        <is>
          <t>3B</t>
        </is>
      </c>
      <c r="E135" t="inlineStr">
        <is>
          <t>3C</t>
        </is>
      </c>
      <c r="F135" t="inlineStr">
        <is>
          <t>3H</t>
        </is>
      </c>
      <c r="G135" t="inlineStr">
        <is>
          <t>3D</t>
        </is>
      </c>
      <c r="H135" t="inlineStr">
        <is>
          <t>3L</t>
        </is>
      </c>
      <c r="I135" t="inlineStr">
        <is>
          <t>3I</t>
        </is>
      </c>
      <c r="J135" t="inlineStr">
        <is>
          <t>BCDEHIJL</t>
        </is>
      </c>
    </row>
    <row r="136">
      <c r="A136" t="n">
        <v>135</v>
      </c>
      <c r="B136" t="inlineStr">
        <is>
          <t>3E</t>
        </is>
      </c>
      <c r="C136" t="inlineStr">
        <is>
          <t>3J</t>
        </is>
      </c>
      <c r="D136" t="inlineStr">
        <is>
          <t>3B</t>
        </is>
      </c>
      <c r="E136" t="inlineStr">
        <is>
          <t>3C</t>
        </is>
      </c>
      <c r="F136" t="inlineStr">
        <is>
          <t>3H</t>
        </is>
      </c>
      <c r="G136" t="inlineStr">
        <is>
          <t>3D</t>
        </is>
      </c>
      <c r="H136" t="inlineStr">
        <is>
          <t>3I</t>
        </is>
      </c>
      <c r="I136" t="inlineStr">
        <is>
          <t>3K</t>
        </is>
      </c>
      <c r="J136" t="inlineStr">
        <is>
          <t>BCDEHIJK</t>
        </is>
      </c>
    </row>
    <row r="137">
      <c r="A137" t="n">
        <v>136</v>
      </c>
      <c r="B137" t="inlineStr">
        <is>
          <t>3E</t>
        </is>
      </c>
      <c r="C137" t="inlineStr">
        <is>
          <t>3G</t>
        </is>
      </c>
      <c r="D137" t="inlineStr">
        <is>
          <t>3B</t>
        </is>
      </c>
      <c r="E137" t="inlineStr">
        <is>
          <t>3C</t>
        </is>
      </c>
      <c r="F137" t="inlineStr">
        <is>
          <t>3J</t>
        </is>
      </c>
      <c r="G137" t="inlineStr">
        <is>
          <t>3D</t>
        </is>
      </c>
      <c r="H137" t="inlineStr">
        <is>
          <t>3L</t>
        </is>
      </c>
      <c r="I137" t="inlineStr">
        <is>
          <t>3K</t>
        </is>
      </c>
      <c r="J137" t="inlineStr">
        <is>
          <t>BCDEGJKL</t>
        </is>
      </c>
    </row>
    <row r="138">
      <c r="A138" t="n">
        <v>137</v>
      </c>
      <c r="B138" t="inlineStr">
        <is>
          <t>3E</t>
        </is>
      </c>
      <c r="C138" t="inlineStr">
        <is>
          <t>3G</t>
        </is>
      </c>
      <c r="D138" t="inlineStr">
        <is>
          <t>3B</t>
        </is>
      </c>
      <c r="E138" t="inlineStr">
        <is>
          <t>3C</t>
        </is>
      </c>
      <c r="F138" t="inlineStr">
        <is>
          <t>3I</t>
        </is>
      </c>
      <c r="G138" t="inlineStr">
        <is>
          <t>3D</t>
        </is>
      </c>
      <c r="H138" t="inlineStr">
        <is>
          <t>3L</t>
        </is>
      </c>
      <c r="I138" t="inlineStr">
        <is>
          <t>3K</t>
        </is>
      </c>
      <c r="J138" t="inlineStr">
        <is>
          <t>BCDEGIKL</t>
        </is>
      </c>
    </row>
    <row r="139">
      <c r="A139" t="n">
        <v>138</v>
      </c>
      <c r="B139" t="inlineStr">
        <is>
          <t>3E</t>
        </is>
      </c>
      <c r="C139" t="inlineStr">
        <is>
          <t>3G</t>
        </is>
      </c>
      <c r="D139" t="inlineStr">
        <is>
          <t>3B</t>
        </is>
      </c>
      <c r="E139" t="inlineStr">
        <is>
          <t>3C</t>
        </is>
      </c>
      <c r="F139" t="inlineStr">
        <is>
          <t>3J</t>
        </is>
      </c>
      <c r="G139" t="inlineStr">
        <is>
          <t>3D</t>
        </is>
      </c>
      <c r="H139" t="inlineStr">
        <is>
          <t>3L</t>
        </is>
      </c>
      <c r="I139" t="inlineStr">
        <is>
          <t>3I</t>
        </is>
      </c>
      <c r="J139" t="inlineStr">
        <is>
          <t>BCDEGIJL</t>
        </is>
      </c>
    </row>
    <row r="140">
      <c r="A140" t="n">
        <v>139</v>
      </c>
      <c r="B140" t="inlineStr">
        <is>
          <t>3E</t>
        </is>
      </c>
      <c r="C140" t="inlineStr">
        <is>
          <t>3G</t>
        </is>
      </c>
      <c r="D140" t="inlineStr">
        <is>
          <t>3B</t>
        </is>
      </c>
      <c r="E140" t="inlineStr">
        <is>
          <t>3C</t>
        </is>
      </c>
      <c r="F140" t="inlineStr">
        <is>
          <t>3J</t>
        </is>
      </c>
      <c r="G140" t="inlineStr">
        <is>
          <t>3D</t>
        </is>
      </c>
      <c r="H140" t="inlineStr">
        <is>
          <t>3I</t>
        </is>
      </c>
      <c r="I140" t="inlineStr">
        <is>
          <t>3K</t>
        </is>
      </c>
      <c r="J140" t="inlineStr">
        <is>
          <t>BCDEGIJK</t>
        </is>
      </c>
    </row>
    <row r="141">
      <c r="A141" t="n">
        <v>140</v>
      </c>
      <c r="B141" t="inlineStr">
        <is>
          <t>3E</t>
        </is>
      </c>
      <c r="C141" t="inlineStr">
        <is>
          <t>3G</t>
        </is>
      </c>
      <c r="D141" t="inlineStr">
        <is>
          <t>3B</t>
        </is>
      </c>
      <c r="E141" t="inlineStr">
        <is>
          <t>3C</t>
        </is>
      </c>
      <c r="F141" t="inlineStr">
        <is>
          <t>3H</t>
        </is>
      </c>
      <c r="G141" t="inlineStr">
        <is>
          <t>3D</t>
        </is>
      </c>
      <c r="H141" t="inlineStr">
        <is>
          <t>3L</t>
        </is>
      </c>
      <c r="I141" t="inlineStr">
        <is>
          <t>3K</t>
        </is>
      </c>
      <c r="J141" t="inlineStr">
        <is>
          <t>BCDEGHKL</t>
        </is>
      </c>
    </row>
    <row r="142">
      <c r="A142" t="n">
        <v>141</v>
      </c>
      <c r="B142" t="inlineStr">
        <is>
          <t>3H</t>
        </is>
      </c>
      <c r="C142" t="inlineStr">
        <is>
          <t>3G</t>
        </is>
      </c>
      <c r="D142" t="inlineStr">
        <is>
          <t>3B</t>
        </is>
      </c>
      <c r="E142" t="inlineStr">
        <is>
          <t>3C</t>
        </is>
      </c>
      <c r="F142" t="inlineStr">
        <is>
          <t>3J</t>
        </is>
      </c>
      <c r="G142" t="inlineStr">
        <is>
          <t>3D</t>
        </is>
      </c>
      <c r="H142" t="inlineStr">
        <is>
          <t>3L</t>
        </is>
      </c>
      <c r="I142" t="inlineStr">
        <is>
          <t>3E</t>
        </is>
      </c>
      <c r="J142" t="inlineStr">
        <is>
          <t>BCDEGHJL</t>
        </is>
      </c>
    </row>
    <row r="143">
      <c r="A143" t="n">
        <v>142</v>
      </c>
      <c r="B143" t="inlineStr">
        <is>
          <t>3H</t>
        </is>
      </c>
      <c r="C143" t="inlineStr">
        <is>
          <t>3G</t>
        </is>
      </c>
      <c r="D143" t="inlineStr">
        <is>
          <t>3B</t>
        </is>
      </c>
      <c r="E143" t="inlineStr">
        <is>
          <t>3C</t>
        </is>
      </c>
      <c r="F143" t="inlineStr">
        <is>
          <t>3J</t>
        </is>
      </c>
      <c r="G143" t="inlineStr">
        <is>
          <t>3D</t>
        </is>
      </c>
      <c r="H143" t="inlineStr">
        <is>
          <t>3E</t>
        </is>
      </c>
      <c r="I143" t="inlineStr">
        <is>
          <t>3K</t>
        </is>
      </c>
      <c r="J143" t="inlineStr">
        <is>
          <t>BCDEGHJK</t>
        </is>
      </c>
    </row>
    <row r="144">
      <c r="A144" t="n">
        <v>143</v>
      </c>
      <c r="B144" t="inlineStr">
        <is>
          <t>3E</t>
        </is>
      </c>
      <c r="C144" t="inlineStr">
        <is>
          <t>3G</t>
        </is>
      </c>
      <c r="D144" t="inlineStr">
        <is>
          <t>3B</t>
        </is>
      </c>
      <c r="E144" t="inlineStr">
        <is>
          <t>3C</t>
        </is>
      </c>
      <c r="F144" t="inlineStr">
        <is>
          <t>3H</t>
        </is>
      </c>
      <c r="G144" t="inlineStr">
        <is>
          <t>3D</t>
        </is>
      </c>
      <c r="H144" t="inlineStr">
        <is>
          <t>3L</t>
        </is>
      </c>
      <c r="I144" t="inlineStr">
        <is>
          <t>3I</t>
        </is>
      </c>
      <c r="J144" t="inlineStr">
        <is>
          <t>BCDEGHIL</t>
        </is>
      </c>
    </row>
    <row r="145">
      <c r="A145" t="n">
        <v>144</v>
      </c>
      <c r="B145" t="inlineStr">
        <is>
          <t>3E</t>
        </is>
      </c>
      <c r="C145" t="inlineStr">
        <is>
          <t>3G</t>
        </is>
      </c>
      <c r="D145" t="inlineStr">
        <is>
          <t>3B</t>
        </is>
      </c>
      <c r="E145" t="inlineStr">
        <is>
          <t>3C</t>
        </is>
      </c>
      <c r="F145" t="inlineStr">
        <is>
          <t>3H</t>
        </is>
      </c>
      <c r="G145" t="inlineStr">
        <is>
          <t>3D</t>
        </is>
      </c>
      <c r="H145" t="inlineStr">
        <is>
          <t>3I</t>
        </is>
      </c>
      <c r="I145" t="inlineStr">
        <is>
          <t>3K</t>
        </is>
      </c>
      <c r="J145" t="inlineStr">
        <is>
          <t>BCDEGHIK</t>
        </is>
      </c>
    </row>
    <row r="146">
      <c r="A146" t="n">
        <v>145</v>
      </c>
      <c r="B146" t="inlineStr">
        <is>
          <t>3H</t>
        </is>
      </c>
      <c r="C146" t="inlineStr">
        <is>
          <t>3G</t>
        </is>
      </c>
      <c r="D146" t="inlineStr">
        <is>
          <t>3B</t>
        </is>
      </c>
      <c r="E146" t="inlineStr">
        <is>
          <t>3C</t>
        </is>
      </c>
      <c r="F146" t="inlineStr">
        <is>
          <t>3J</t>
        </is>
      </c>
      <c r="G146" t="inlineStr">
        <is>
          <t>3D</t>
        </is>
      </c>
      <c r="H146" t="inlineStr">
        <is>
          <t>3E</t>
        </is>
      </c>
      <c r="I146" t="inlineStr">
        <is>
          <t>3I</t>
        </is>
      </c>
      <c r="J146" t="inlineStr">
        <is>
          <t>BCDEGHIJ</t>
        </is>
      </c>
    </row>
    <row r="147">
      <c r="A147" t="n">
        <v>146</v>
      </c>
      <c r="B147" t="inlineStr">
        <is>
          <t>3C</t>
        </is>
      </c>
      <c r="C147" t="inlineStr">
        <is>
          <t>3J</t>
        </is>
      </c>
      <c r="D147" t="inlineStr">
        <is>
          <t>3B</t>
        </is>
      </c>
      <c r="E147" t="inlineStr">
        <is>
          <t>3D</t>
        </is>
      </c>
      <c r="F147" t="inlineStr">
        <is>
          <t>3E</t>
        </is>
      </c>
      <c r="G147" t="inlineStr">
        <is>
          <t>3F</t>
        </is>
      </c>
      <c r="H147" t="inlineStr">
        <is>
          <t>3L</t>
        </is>
      </c>
      <c r="I147" t="inlineStr">
        <is>
          <t>3K</t>
        </is>
      </c>
      <c r="J147" t="inlineStr">
        <is>
          <t>BCDEFJKL</t>
        </is>
      </c>
    </row>
    <row r="148">
      <c r="A148" t="n">
        <v>147</v>
      </c>
      <c r="B148" t="inlineStr">
        <is>
          <t>3C</t>
        </is>
      </c>
      <c r="C148" t="inlineStr">
        <is>
          <t>3E</t>
        </is>
      </c>
      <c r="D148" t="inlineStr">
        <is>
          <t>3B</t>
        </is>
      </c>
      <c r="E148" t="inlineStr">
        <is>
          <t>3D</t>
        </is>
      </c>
      <c r="F148" t="inlineStr">
        <is>
          <t>3I</t>
        </is>
      </c>
      <c r="G148" t="inlineStr">
        <is>
          <t>3F</t>
        </is>
      </c>
      <c r="H148" t="inlineStr">
        <is>
          <t>3L</t>
        </is>
      </c>
      <c r="I148" t="inlineStr">
        <is>
          <t>3K</t>
        </is>
      </c>
      <c r="J148" t="inlineStr">
        <is>
          <t>BCDEFIKL</t>
        </is>
      </c>
    </row>
    <row r="149">
      <c r="A149" t="n">
        <v>148</v>
      </c>
      <c r="B149" t="inlineStr">
        <is>
          <t>3C</t>
        </is>
      </c>
      <c r="C149" t="inlineStr">
        <is>
          <t>3J</t>
        </is>
      </c>
      <c r="D149" t="inlineStr">
        <is>
          <t>3B</t>
        </is>
      </c>
      <c r="E149" t="inlineStr">
        <is>
          <t>3D</t>
        </is>
      </c>
      <c r="F149" t="inlineStr">
        <is>
          <t>3E</t>
        </is>
      </c>
      <c r="G149" t="inlineStr">
        <is>
          <t>3F</t>
        </is>
      </c>
      <c r="H149" t="inlineStr">
        <is>
          <t>3L</t>
        </is>
      </c>
      <c r="I149" t="inlineStr">
        <is>
          <t>3I</t>
        </is>
      </c>
      <c r="J149" t="inlineStr">
        <is>
          <t>BCDEFIJL</t>
        </is>
      </c>
    </row>
    <row r="150">
      <c r="A150" t="n">
        <v>149</v>
      </c>
      <c r="B150" t="inlineStr">
        <is>
          <t>3C</t>
        </is>
      </c>
      <c r="C150" t="inlineStr">
        <is>
          <t>3J</t>
        </is>
      </c>
      <c r="D150" t="inlineStr">
        <is>
          <t>3B</t>
        </is>
      </c>
      <c r="E150" t="inlineStr">
        <is>
          <t>3D</t>
        </is>
      </c>
      <c r="F150" t="inlineStr">
        <is>
          <t>3E</t>
        </is>
      </c>
      <c r="G150" t="inlineStr">
        <is>
          <t>3F</t>
        </is>
      </c>
      <c r="H150" t="inlineStr">
        <is>
          <t>3I</t>
        </is>
      </c>
      <c r="I150" t="inlineStr">
        <is>
          <t>3K</t>
        </is>
      </c>
      <c r="J150" t="inlineStr">
        <is>
          <t>BCDEFIJK</t>
        </is>
      </c>
    </row>
    <row r="151">
      <c r="A151" t="n">
        <v>150</v>
      </c>
      <c r="B151" t="inlineStr">
        <is>
          <t>3C</t>
        </is>
      </c>
      <c r="C151" t="inlineStr">
        <is>
          <t>3E</t>
        </is>
      </c>
      <c r="D151" t="inlineStr">
        <is>
          <t>3B</t>
        </is>
      </c>
      <c r="E151" t="inlineStr">
        <is>
          <t>3D</t>
        </is>
      </c>
      <c r="F151" t="inlineStr">
        <is>
          <t>3H</t>
        </is>
      </c>
      <c r="G151" t="inlineStr">
        <is>
          <t>3F</t>
        </is>
      </c>
      <c r="H151" t="inlineStr">
        <is>
          <t>3L</t>
        </is>
      </c>
      <c r="I151" t="inlineStr">
        <is>
          <t>3K</t>
        </is>
      </c>
      <c r="J151" t="inlineStr">
        <is>
          <t>BCDEFHKL</t>
        </is>
      </c>
    </row>
    <row r="152">
      <c r="A152" t="n">
        <v>151</v>
      </c>
      <c r="B152" t="inlineStr">
        <is>
          <t>3C</t>
        </is>
      </c>
      <c r="C152" t="inlineStr">
        <is>
          <t>3J</t>
        </is>
      </c>
      <c r="D152" t="inlineStr">
        <is>
          <t>3B</t>
        </is>
      </c>
      <c r="E152" t="inlineStr">
        <is>
          <t>3D</t>
        </is>
      </c>
      <c r="F152" t="inlineStr">
        <is>
          <t>3H</t>
        </is>
      </c>
      <c r="G152" t="inlineStr">
        <is>
          <t>3F</t>
        </is>
      </c>
      <c r="H152" t="inlineStr">
        <is>
          <t>3L</t>
        </is>
      </c>
      <c r="I152" t="inlineStr">
        <is>
          <t>3E</t>
        </is>
      </c>
      <c r="J152" t="inlineStr">
        <is>
          <t>BCDEFHJL</t>
        </is>
      </c>
    </row>
    <row r="153">
      <c r="A153" t="n">
        <v>152</v>
      </c>
      <c r="B153" t="inlineStr">
        <is>
          <t>3C</t>
        </is>
      </c>
      <c r="C153" t="inlineStr">
        <is>
          <t>3J</t>
        </is>
      </c>
      <c r="D153" t="inlineStr">
        <is>
          <t>3B</t>
        </is>
      </c>
      <c r="E153" t="inlineStr">
        <is>
          <t>3D</t>
        </is>
      </c>
      <c r="F153" t="inlineStr">
        <is>
          <t>3H</t>
        </is>
      </c>
      <c r="G153" t="inlineStr">
        <is>
          <t>3F</t>
        </is>
      </c>
      <c r="H153" t="inlineStr">
        <is>
          <t>3E</t>
        </is>
      </c>
      <c r="I153" t="inlineStr">
        <is>
          <t>3K</t>
        </is>
      </c>
      <c r="J153" t="inlineStr">
        <is>
          <t>BCDEFHJK</t>
        </is>
      </c>
    </row>
    <row r="154">
      <c r="A154" t="n">
        <v>153</v>
      </c>
      <c r="B154" t="inlineStr">
        <is>
          <t>3C</t>
        </is>
      </c>
      <c r="C154" t="inlineStr">
        <is>
          <t>3E</t>
        </is>
      </c>
      <c r="D154" t="inlineStr">
        <is>
          <t>3B</t>
        </is>
      </c>
      <c r="E154" t="inlineStr">
        <is>
          <t>3D</t>
        </is>
      </c>
      <c r="F154" t="inlineStr">
        <is>
          <t>3H</t>
        </is>
      </c>
      <c r="G154" t="inlineStr">
        <is>
          <t>3F</t>
        </is>
      </c>
      <c r="H154" t="inlineStr">
        <is>
          <t>3L</t>
        </is>
      </c>
      <c r="I154" t="inlineStr">
        <is>
          <t>3I</t>
        </is>
      </c>
      <c r="J154" t="inlineStr">
        <is>
          <t>BCDEFHIL</t>
        </is>
      </c>
    </row>
    <row r="155">
      <c r="A155" t="n">
        <v>154</v>
      </c>
      <c r="B155" t="inlineStr">
        <is>
          <t>3C</t>
        </is>
      </c>
      <c r="C155" t="inlineStr">
        <is>
          <t>3E</t>
        </is>
      </c>
      <c r="D155" t="inlineStr">
        <is>
          <t>3B</t>
        </is>
      </c>
      <c r="E155" t="inlineStr">
        <is>
          <t>3D</t>
        </is>
      </c>
      <c r="F155" t="inlineStr">
        <is>
          <t>3H</t>
        </is>
      </c>
      <c r="G155" t="inlineStr">
        <is>
          <t>3F</t>
        </is>
      </c>
      <c r="H155" t="inlineStr">
        <is>
          <t>3I</t>
        </is>
      </c>
      <c r="I155" t="inlineStr">
        <is>
          <t>3K</t>
        </is>
      </c>
      <c r="J155" t="inlineStr">
        <is>
          <t>BCDEFHIK</t>
        </is>
      </c>
    </row>
    <row r="156">
      <c r="A156" t="n">
        <v>155</v>
      </c>
      <c r="B156" t="inlineStr">
        <is>
          <t>3C</t>
        </is>
      </c>
      <c r="C156" t="inlineStr">
        <is>
          <t>3J</t>
        </is>
      </c>
      <c r="D156" t="inlineStr">
        <is>
          <t>3B</t>
        </is>
      </c>
      <c r="E156" t="inlineStr">
        <is>
          <t>3D</t>
        </is>
      </c>
      <c r="F156" t="inlineStr">
        <is>
          <t>3H</t>
        </is>
      </c>
      <c r="G156" t="inlineStr">
        <is>
          <t>3F</t>
        </is>
      </c>
      <c r="H156" t="inlineStr">
        <is>
          <t>3E</t>
        </is>
      </c>
      <c r="I156" t="inlineStr">
        <is>
          <t>3I</t>
        </is>
      </c>
      <c r="J156" t="inlineStr">
        <is>
          <t>BCDEFHIJ</t>
        </is>
      </c>
    </row>
    <row r="157">
      <c r="A157" t="n">
        <v>156</v>
      </c>
      <c r="B157" t="inlineStr">
        <is>
          <t>3C</t>
        </is>
      </c>
      <c r="C157" t="inlineStr">
        <is>
          <t>3G</t>
        </is>
      </c>
      <c r="D157" t="inlineStr">
        <is>
          <t>3B</t>
        </is>
      </c>
      <c r="E157" t="inlineStr">
        <is>
          <t>3D</t>
        </is>
      </c>
      <c r="F157" t="inlineStr">
        <is>
          <t>3E</t>
        </is>
      </c>
      <c r="G157" t="inlineStr">
        <is>
          <t>3F</t>
        </is>
      </c>
      <c r="H157" t="inlineStr">
        <is>
          <t>3L</t>
        </is>
      </c>
      <c r="I157" t="inlineStr">
        <is>
          <t>3K</t>
        </is>
      </c>
      <c r="J157" t="inlineStr">
        <is>
          <t>BCDEFGKL</t>
        </is>
      </c>
    </row>
    <row r="158">
      <c r="A158" t="n">
        <v>157</v>
      </c>
      <c r="B158" t="inlineStr">
        <is>
          <t>3C</t>
        </is>
      </c>
      <c r="C158" t="inlineStr">
        <is>
          <t>3G</t>
        </is>
      </c>
      <c r="D158" t="inlineStr">
        <is>
          <t>3B</t>
        </is>
      </c>
      <c r="E158" t="inlineStr">
        <is>
          <t>3D</t>
        </is>
      </c>
      <c r="F158" t="inlineStr">
        <is>
          <t>3J</t>
        </is>
      </c>
      <c r="G158" t="inlineStr">
        <is>
          <t>3F</t>
        </is>
      </c>
      <c r="H158" t="inlineStr">
        <is>
          <t>3L</t>
        </is>
      </c>
      <c r="I158" t="inlineStr">
        <is>
          <t>3E</t>
        </is>
      </c>
      <c r="J158" t="inlineStr">
        <is>
          <t>BCDEFGJL</t>
        </is>
      </c>
    </row>
    <row r="159">
      <c r="A159" t="n">
        <v>158</v>
      </c>
      <c r="B159" t="inlineStr">
        <is>
          <t>3C</t>
        </is>
      </c>
      <c r="C159" t="inlineStr">
        <is>
          <t>3G</t>
        </is>
      </c>
      <c r="D159" t="inlineStr">
        <is>
          <t>3B</t>
        </is>
      </c>
      <c r="E159" t="inlineStr">
        <is>
          <t>3D</t>
        </is>
      </c>
      <c r="F159" t="inlineStr">
        <is>
          <t>3J</t>
        </is>
      </c>
      <c r="G159" t="inlineStr">
        <is>
          <t>3F</t>
        </is>
      </c>
      <c r="H159" t="inlineStr">
        <is>
          <t>3E</t>
        </is>
      </c>
      <c r="I159" t="inlineStr">
        <is>
          <t>3K</t>
        </is>
      </c>
      <c r="J159" t="inlineStr">
        <is>
          <t>BCDEFGJK</t>
        </is>
      </c>
    </row>
    <row r="160">
      <c r="A160" t="n">
        <v>159</v>
      </c>
      <c r="B160" t="inlineStr">
        <is>
          <t>3C</t>
        </is>
      </c>
      <c r="C160" t="inlineStr">
        <is>
          <t>3G</t>
        </is>
      </c>
      <c r="D160" t="inlineStr">
        <is>
          <t>3B</t>
        </is>
      </c>
      <c r="E160" t="inlineStr">
        <is>
          <t>3D</t>
        </is>
      </c>
      <c r="F160" t="inlineStr">
        <is>
          <t>3E</t>
        </is>
      </c>
      <c r="G160" t="inlineStr">
        <is>
          <t>3F</t>
        </is>
      </c>
      <c r="H160" t="inlineStr">
        <is>
          <t>3L</t>
        </is>
      </c>
      <c r="I160" t="inlineStr">
        <is>
          <t>3I</t>
        </is>
      </c>
      <c r="J160" t="inlineStr">
        <is>
          <t>BCDEFGIL</t>
        </is>
      </c>
    </row>
    <row r="161">
      <c r="A161" t="n">
        <v>160</v>
      </c>
      <c r="B161" t="inlineStr">
        <is>
          <t>3C</t>
        </is>
      </c>
      <c r="C161" t="inlineStr">
        <is>
          <t>3G</t>
        </is>
      </c>
      <c r="D161" t="inlineStr">
        <is>
          <t>3B</t>
        </is>
      </c>
      <c r="E161" t="inlineStr">
        <is>
          <t>3D</t>
        </is>
      </c>
      <c r="F161" t="inlineStr">
        <is>
          <t>3E</t>
        </is>
      </c>
      <c r="G161" t="inlineStr">
        <is>
          <t>3F</t>
        </is>
      </c>
      <c r="H161" t="inlineStr">
        <is>
          <t>3I</t>
        </is>
      </c>
      <c r="I161" t="inlineStr">
        <is>
          <t>3K</t>
        </is>
      </c>
      <c r="J161" t="inlineStr">
        <is>
          <t>BCDEFGIK</t>
        </is>
      </c>
    </row>
    <row r="162">
      <c r="A162" t="n">
        <v>161</v>
      </c>
      <c r="B162" t="inlineStr">
        <is>
          <t>3C</t>
        </is>
      </c>
      <c r="C162" t="inlineStr">
        <is>
          <t>3G</t>
        </is>
      </c>
      <c r="D162" t="inlineStr">
        <is>
          <t>3B</t>
        </is>
      </c>
      <c r="E162" t="inlineStr">
        <is>
          <t>3D</t>
        </is>
      </c>
      <c r="F162" t="inlineStr">
        <is>
          <t>3J</t>
        </is>
      </c>
      <c r="G162" t="inlineStr">
        <is>
          <t>3F</t>
        </is>
      </c>
      <c r="H162" t="inlineStr">
        <is>
          <t>3E</t>
        </is>
      </c>
      <c r="I162" t="inlineStr">
        <is>
          <t>3I</t>
        </is>
      </c>
      <c r="J162" t="inlineStr">
        <is>
          <t>BCDEFGIJ</t>
        </is>
      </c>
    </row>
    <row r="163">
      <c r="A163" t="n">
        <v>162</v>
      </c>
      <c r="B163" t="inlineStr">
        <is>
          <t>3C</t>
        </is>
      </c>
      <c r="C163" t="inlineStr">
        <is>
          <t>3G</t>
        </is>
      </c>
      <c r="D163" t="inlineStr">
        <is>
          <t>3B</t>
        </is>
      </c>
      <c r="E163" t="inlineStr">
        <is>
          <t>3D</t>
        </is>
      </c>
      <c r="F163" t="inlineStr">
        <is>
          <t>3H</t>
        </is>
      </c>
      <c r="G163" t="inlineStr">
        <is>
          <t>3F</t>
        </is>
      </c>
      <c r="H163" t="inlineStr">
        <is>
          <t>3L</t>
        </is>
      </c>
      <c r="I163" t="inlineStr">
        <is>
          <t>3E</t>
        </is>
      </c>
      <c r="J163" t="inlineStr">
        <is>
          <t>BCDEFGHL</t>
        </is>
      </c>
    </row>
    <row r="164">
      <c r="A164" t="n">
        <v>163</v>
      </c>
      <c r="B164" t="inlineStr">
        <is>
          <t>3C</t>
        </is>
      </c>
      <c r="C164" t="inlineStr">
        <is>
          <t>3G</t>
        </is>
      </c>
      <c r="D164" t="inlineStr">
        <is>
          <t>3B</t>
        </is>
      </c>
      <c r="E164" t="inlineStr">
        <is>
          <t>3D</t>
        </is>
      </c>
      <c r="F164" t="inlineStr">
        <is>
          <t>3H</t>
        </is>
      </c>
      <c r="G164" t="inlineStr">
        <is>
          <t>3F</t>
        </is>
      </c>
      <c r="H164" t="inlineStr">
        <is>
          <t>3E</t>
        </is>
      </c>
      <c r="I164" t="inlineStr">
        <is>
          <t>3K</t>
        </is>
      </c>
      <c r="J164" t="inlineStr">
        <is>
          <t>BCDEFGHK</t>
        </is>
      </c>
    </row>
    <row r="165">
      <c r="A165" t="n">
        <v>164</v>
      </c>
      <c r="B165" t="inlineStr">
        <is>
          <t>3H</t>
        </is>
      </c>
      <c r="C165" t="inlineStr">
        <is>
          <t>3G</t>
        </is>
      </c>
      <c r="D165" t="inlineStr">
        <is>
          <t>3B</t>
        </is>
      </c>
      <c r="E165" t="inlineStr">
        <is>
          <t>3C</t>
        </is>
      </c>
      <c r="F165" t="inlineStr">
        <is>
          <t>3J</t>
        </is>
      </c>
      <c r="G165" t="inlineStr">
        <is>
          <t>3F</t>
        </is>
      </c>
      <c r="H165" t="inlineStr">
        <is>
          <t>3D</t>
        </is>
      </c>
      <c r="I165" t="inlineStr">
        <is>
          <t>3E</t>
        </is>
      </c>
      <c r="J165" t="inlineStr">
        <is>
          <t>BCDEFGHJ</t>
        </is>
      </c>
    </row>
    <row r="166">
      <c r="A166" t="n">
        <v>165</v>
      </c>
      <c r="B166" t="inlineStr">
        <is>
          <t>3C</t>
        </is>
      </c>
      <c r="C166" t="inlineStr">
        <is>
          <t>3G</t>
        </is>
      </c>
      <c r="D166" t="inlineStr">
        <is>
          <t>3B</t>
        </is>
      </c>
      <c r="E166" t="inlineStr">
        <is>
          <t>3D</t>
        </is>
      </c>
      <c r="F166" t="inlineStr">
        <is>
          <t>3H</t>
        </is>
      </c>
      <c r="G166" t="inlineStr">
        <is>
          <t>3F</t>
        </is>
      </c>
      <c r="H166" t="inlineStr">
        <is>
          <t>3E</t>
        </is>
      </c>
      <c r="I166" t="inlineStr">
        <is>
          <t>3I</t>
        </is>
      </c>
      <c r="J166" t="inlineStr">
        <is>
          <t>BCDEFGHI</t>
        </is>
      </c>
    </row>
    <row r="167">
      <c r="A167" t="n">
        <v>166</v>
      </c>
      <c r="B167" t="inlineStr">
        <is>
          <t>3H</t>
        </is>
      </c>
      <c r="C167" t="inlineStr">
        <is>
          <t>3J</t>
        </is>
      </c>
      <c r="D167" t="inlineStr">
        <is>
          <t>3I</t>
        </is>
      </c>
      <c r="E167" t="inlineStr">
        <is>
          <t>3F</t>
        </is>
      </c>
      <c r="F167" t="inlineStr">
        <is>
          <t>3A</t>
        </is>
      </c>
      <c r="G167" t="inlineStr">
        <is>
          <t>3G</t>
        </is>
      </c>
      <c r="H167" t="inlineStr">
        <is>
          <t>3L</t>
        </is>
      </c>
      <c r="I167" t="inlineStr">
        <is>
          <t>3K</t>
        </is>
      </c>
      <c r="J167" t="inlineStr">
        <is>
          <t>AFGHIJKL</t>
        </is>
      </c>
    </row>
    <row r="168">
      <c r="A168" t="n">
        <v>167</v>
      </c>
      <c r="B168" t="inlineStr">
        <is>
          <t>3E</t>
        </is>
      </c>
      <c r="C168" t="inlineStr">
        <is>
          <t>3J</t>
        </is>
      </c>
      <c r="D168" t="inlineStr">
        <is>
          <t>3I</t>
        </is>
      </c>
      <c r="E168" t="inlineStr">
        <is>
          <t>3A</t>
        </is>
      </c>
      <c r="F168" t="inlineStr">
        <is>
          <t>3H</t>
        </is>
      </c>
      <c r="G168" t="inlineStr">
        <is>
          <t>3G</t>
        </is>
      </c>
      <c r="H168" t="inlineStr">
        <is>
          <t>3L</t>
        </is>
      </c>
      <c r="I168" t="inlineStr">
        <is>
          <t>3K</t>
        </is>
      </c>
      <c r="J168" t="inlineStr">
        <is>
          <t>AEGHIJKL</t>
        </is>
      </c>
    </row>
    <row r="169">
      <c r="A169" t="n">
        <v>168</v>
      </c>
      <c r="B169" t="inlineStr">
        <is>
          <t>3E</t>
        </is>
      </c>
      <c r="C169" t="inlineStr">
        <is>
          <t>3J</t>
        </is>
      </c>
      <c r="D169" t="inlineStr">
        <is>
          <t>3I</t>
        </is>
      </c>
      <c r="E169" t="inlineStr">
        <is>
          <t>3F</t>
        </is>
      </c>
      <c r="F169" t="inlineStr">
        <is>
          <t>3A</t>
        </is>
      </c>
      <c r="G169" t="inlineStr">
        <is>
          <t>3H</t>
        </is>
      </c>
      <c r="H169" t="inlineStr">
        <is>
          <t>3L</t>
        </is>
      </c>
      <c r="I169" t="inlineStr">
        <is>
          <t>3K</t>
        </is>
      </c>
      <c r="J169" t="inlineStr">
        <is>
          <t>AEFHIJKL</t>
        </is>
      </c>
    </row>
    <row r="170">
      <c r="A170" t="n">
        <v>169</v>
      </c>
      <c r="B170" t="inlineStr">
        <is>
          <t>3E</t>
        </is>
      </c>
      <c r="C170" t="inlineStr">
        <is>
          <t>3J</t>
        </is>
      </c>
      <c r="D170" t="inlineStr">
        <is>
          <t>3I</t>
        </is>
      </c>
      <c r="E170" t="inlineStr">
        <is>
          <t>3F</t>
        </is>
      </c>
      <c r="F170" t="inlineStr">
        <is>
          <t>3A</t>
        </is>
      </c>
      <c r="G170" t="inlineStr">
        <is>
          <t>3G</t>
        </is>
      </c>
      <c r="H170" t="inlineStr">
        <is>
          <t>3L</t>
        </is>
      </c>
      <c r="I170" t="inlineStr">
        <is>
          <t>3K</t>
        </is>
      </c>
      <c r="J170" t="inlineStr">
        <is>
          <t>AEFGIJKL</t>
        </is>
      </c>
    </row>
    <row r="171">
      <c r="A171" t="n">
        <v>170</v>
      </c>
      <c r="B171" t="inlineStr">
        <is>
          <t>3E</t>
        </is>
      </c>
      <c r="C171" t="inlineStr">
        <is>
          <t>3G</t>
        </is>
      </c>
      <c r="D171" t="inlineStr">
        <is>
          <t>3J</t>
        </is>
      </c>
      <c r="E171" t="inlineStr">
        <is>
          <t>3F</t>
        </is>
      </c>
      <c r="F171" t="inlineStr">
        <is>
          <t>3A</t>
        </is>
      </c>
      <c r="G171" t="inlineStr">
        <is>
          <t>3H</t>
        </is>
      </c>
      <c r="H171" t="inlineStr">
        <is>
          <t>3L</t>
        </is>
      </c>
      <c r="I171" t="inlineStr">
        <is>
          <t>3K</t>
        </is>
      </c>
      <c r="J171" t="inlineStr">
        <is>
          <t>AEFGHJKL</t>
        </is>
      </c>
    </row>
    <row r="172">
      <c r="A172" t="n">
        <v>171</v>
      </c>
      <c r="B172" t="inlineStr">
        <is>
          <t>3E</t>
        </is>
      </c>
      <c r="C172" t="inlineStr">
        <is>
          <t>3G</t>
        </is>
      </c>
      <c r="D172" t="inlineStr">
        <is>
          <t>3I</t>
        </is>
      </c>
      <c r="E172" t="inlineStr">
        <is>
          <t>3F</t>
        </is>
      </c>
      <c r="F172" t="inlineStr">
        <is>
          <t>3A</t>
        </is>
      </c>
      <c r="G172" t="inlineStr">
        <is>
          <t>3H</t>
        </is>
      </c>
      <c r="H172" t="inlineStr">
        <is>
          <t>3L</t>
        </is>
      </c>
      <c r="I172" t="inlineStr">
        <is>
          <t>3K</t>
        </is>
      </c>
      <c r="J172" t="inlineStr">
        <is>
          <t>AEFGHIKL</t>
        </is>
      </c>
    </row>
    <row r="173">
      <c r="A173" t="n">
        <v>172</v>
      </c>
      <c r="B173" t="inlineStr">
        <is>
          <t>3E</t>
        </is>
      </c>
      <c r="C173" t="inlineStr">
        <is>
          <t>3G</t>
        </is>
      </c>
      <c r="D173" t="inlineStr">
        <is>
          <t>3J</t>
        </is>
      </c>
      <c r="E173" t="inlineStr">
        <is>
          <t>3F</t>
        </is>
      </c>
      <c r="F173" t="inlineStr">
        <is>
          <t>3A</t>
        </is>
      </c>
      <c r="G173" t="inlineStr">
        <is>
          <t>3H</t>
        </is>
      </c>
      <c r="H173" t="inlineStr">
        <is>
          <t>3L</t>
        </is>
      </c>
      <c r="I173" t="inlineStr">
        <is>
          <t>3I</t>
        </is>
      </c>
      <c r="J173" t="inlineStr">
        <is>
          <t>AEFGHIJL</t>
        </is>
      </c>
    </row>
    <row r="174">
      <c r="A174" t="n">
        <v>173</v>
      </c>
      <c r="B174" t="inlineStr">
        <is>
          <t>3E</t>
        </is>
      </c>
      <c r="C174" t="inlineStr">
        <is>
          <t>3G</t>
        </is>
      </c>
      <c r="D174" t="inlineStr">
        <is>
          <t>3J</t>
        </is>
      </c>
      <c r="E174" t="inlineStr">
        <is>
          <t>3F</t>
        </is>
      </c>
      <c r="F174" t="inlineStr">
        <is>
          <t>3A</t>
        </is>
      </c>
      <c r="G174" t="inlineStr">
        <is>
          <t>3H</t>
        </is>
      </c>
      <c r="H174" t="inlineStr">
        <is>
          <t>3I</t>
        </is>
      </c>
      <c r="I174" t="inlineStr">
        <is>
          <t>3K</t>
        </is>
      </c>
      <c r="J174" t="inlineStr">
        <is>
          <t>AEFGHIJK</t>
        </is>
      </c>
    </row>
    <row r="175">
      <c r="A175" t="n">
        <v>174</v>
      </c>
      <c r="B175" t="inlineStr">
        <is>
          <t>3H</t>
        </is>
      </c>
      <c r="C175" t="inlineStr">
        <is>
          <t>3J</t>
        </is>
      </c>
      <c r="D175" t="inlineStr">
        <is>
          <t>3I</t>
        </is>
      </c>
      <c r="E175" t="inlineStr">
        <is>
          <t>3D</t>
        </is>
      </c>
      <c r="F175" t="inlineStr">
        <is>
          <t>3A</t>
        </is>
      </c>
      <c r="G175" t="inlineStr">
        <is>
          <t>3G</t>
        </is>
      </c>
      <c r="H175" t="inlineStr">
        <is>
          <t>3L</t>
        </is>
      </c>
      <c r="I175" t="inlineStr">
        <is>
          <t>3K</t>
        </is>
      </c>
      <c r="J175" t="inlineStr">
        <is>
          <t>ADGHIJKL</t>
        </is>
      </c>
    </row>
    <row r="176">
      <c r="A176" t="n">
        <v>175</v>
      </c>
      <c r="B176" t="inlineStr">
        <is>
          <t>3H</t>
        </is>
      </c>
      <c r="C176" t="inlineStr">
        <is>
          <t>3J</t>
        </is>
      </c>
      <c r="D176" t="inlineStr">
        <is>
          <t>3I</t>
        </is>
      </c>
      <c r="E176" t="inlineStr">
        <is>
          <t>3D</t>
        </is>
      </c>
      <c r="F176" t="inlineStr">
        <is>
          <t>3A</t>
        </is>
      </c>
      <c r="G176" t="inlineStr">
        <is>
          <t>3F</t>
        </is>
      </c>
      <c r="H176" t="inlineStr">
        <is>
          <t>3L</t>
        </is>
      </c>
      <c r="I176" t="inlineStr">
        <is>
          <t>3K</t>
        </is>
      </c>
      <c r="J176" t="inlineStr">
        <is>
          <t>ADFHIJKL</t>
        </is>
      </c>
    </row>
    <row r="177">
      <c r="A177" t="n">
        <v>176</v>
      </c>
      <c r="B177" t="inlineStr">
        <is>
          <t>3I</t>
        </is>
      </c>
      <c r="C177" t="inlineStr">
        <is>
          <t>3G</t>
        </is>
      </c>
      <c r="D177" t="inlineStr">
        <is>
          <t>3J</t>
        </is>
      </c>
      <c r="E177" t="inlineStr">
        <is>
          <t>3D</t>
        </is>
      </c>
      <c r="F177" t="inlineStr">
        <is>
          <t>3A</t>
        </is>
      </c>
      <c r="G177" t="inlineStr">
        <is>
          <t>3F</t>
        </is>
      </c>
      <c r="H177" t="inlineStr">
        <is>
          <t>3L</t>
        </is>
      </c>
      <c r="I177" t="inlineStr">
        <is>
          <t>3K</t>
        </is>
      </c>
      <c r="J177" t="inlineStr">
        <is>
          <t>ADFGIJKL</t>
        </is>
      </c>
    </row>
    <row r="178">
      <c r="A178" t="n">
        <v>177</v>
      </c>
      <c r="B178" t="inlineStr">
        <is>
          <t>3H</t>
        </is>
      </c>
      <c r="C178" t="inlineStr">
        <is>
          <t>3G</t>
        </is>
      </c>
      <c r="D178" t="inlineStr">
        <is>
          <t>3J</t>
        </is>
      </c>
      <c r="E178" t="inlineStr">
        <is>
          <t>3D</t>
        </is>
      </c>
      <c r="F178" t="inlineStr">
        <is>
          <t>3A</t>
        </is>
      </c>
      <c r="G178" t="inlineStr">
        <is>
          <t>3F</t>
        </is>
      </c>
      <c r="H178" t="inlineStr">
        <is>
          <t>3L</t>
        </is>
      </c>
      <c r="I178" t="inlineStr">
        <is>
          <t>3K</t>
        </is>
      </c>
      <c r="J178" t="inlineStr">
        <is>
          <t>ADFGHJKL</t>
        </is>
      </c>
    </row>
    <row r="179">
      <c r="A179" t="n">
        <v>178</v>
      </c>
      <c r="B179" t="inlineStr">
        <is>
          <t>3H</t>
        </is>
      </c>
      <c r="C179" t="inlineStr">
        <is>
          <t>3G</t>
        </is>
      </c>
      <c r="D179" t="inlineStr">
        <is>
          <t>3I</t>
        </is>
      </c>
      <c r="E179" t="inlineStr">
        <is>
          <t>3D</t>
        </is>
      </c>
      <c r="F179" t="inlineStr">
        <is>
          <t>3A</t>
        </is>
      </c>
      <c r="G179" t="inlineStr">
        <is>
          <t>3F</t>
        </is>
      </c>
      <c r="H179" t="inlineStr">
        <is>
          <t>3L</t>
        </is>
      </c>
      <c r="I179" t="inlineStr">
        <is>
          <t>3K</t>
        </is>
      </c>
      <c r="J179" t="inlineStr">
        <is>
          <t>ADFGHIKL</t>
        </is>
      </c>
    </row>
    <row r="180">
      <c r="A180" t="n">
        <v>179</v>
      </c>
      <c r="B180" t="inlineStr">
        <is>
          <t>3H</t>
        </is>
      </c>
      <c r="C180" t="inlineStr">
        <is>
          <t>3G</t>
        </is>
      </c>
      <c r="D180" t="inlineStr">
        <is>
          <t>3J</t>
        </is>
      </c>
      <c r="E180" t="inlineStr">
        <is>
          <t>3D</t>
        </is>
      </c>
      <c r="F180" t="inlineStr">
        <is>
          <t>3A</t>
        </is>
      </c>
      <c r="G180" t="inlineStr">
        <is>
          <t>3F</t>
        </is>
      </c>
      <c r="H180" t="inlineStr">
        <is>
          <t>3L</t>
        </is>
      </c>
      <c r="I180" t="inlineStr">
        <is>
          <t>3I</t>
        </is>
      </c>
      <c r="J180" t="inlineStr">
        <is>
          <t>ADFGHIJL</t>
        </is>
      </c>
    </row>
    <row r="181">
      <c r="A181" t="n">
        <v>180</v>
      </c>
      <c r="B181" t="inlineStr">
        <is>
          <t>3H</t>
        </is>
      </c>
      <c r="C181" t="inlineStr">
        <is>
          <t>3G</t>
        </is>
      </c>
      <c r="D181" t="inlineStr">
        <is>
          <t>3J</t>
        </is>
      </c>
      <c r="E181" t="inlineStr">
        <is>
          <t>3D</t>
        </is>
      </c>
      <c r="F181" t="inlineStr">
        <is>
          <t>3A</t>
        </is>
      </c>
      <c r="G181" t="inlineStr">
        <is>
          <t>3F</t>
        </is>
      </c>
      <c r="H181" t="inlineStr">
        <is>
          <t>3I</t>
        </is>
      </c>
      <c r="I181" t="inlineStr">
        <is>
          <t>3K</t>
        </is>
      </c>
      <c r="J181" t="inlineStr">
        <is>
          <t>ADFGHIJK</t>
        </is>
      </c>
    </row>
    <row r="182">
      <c r="A182" t="n">
        <v>181</v>
      </c>
      <c r="B182" t="inlineStr">
        <is>
          <t>3E</t>
        </is>
      </c>
      <c r="C182" t="inlineStr">
        <is>
          <t>3J</t>
        </is>
      </c>
      <c r="D182" t="inlineStr">
        <is>
          <t>3I</t>
        </is>
      </c>
      <c r="E182" t="inlineStr">
        <is>
          <t>3D</t>
        </is>
      </c>
      <c r="F182" t="inlineStr">
        <is>
          <t>3A</t>
        </is>
      </c>
      <c r="G182" t="inlineStr">
        <is>
          <t>3H</t>
        </is>
      </c>
      <c r="H182" t="inlineStr">
        <is>
          <t>3L</t>
        </is>
      </c>
      <c r="I182" t="inlineStr">
        <is>
          <t>3K</t>
        </is>
      </c>
      <c r="J182" t="inlineStr">
        <is>
          <t>ADEHIJKL</t>
        </is>
      </c>
    </row>
    <row r="183">
      <c r="A183" t="n">
        <v>182</v>
      </c>
      <c r="B183" t="inlineStr">
        <is>
          <t>3E</t>
        </is>
      </c>
      <c r="C183" t="inlineStr">
        <is>
          <t>3J</t>
        </is>
      </c>
      <c r="D183" t="inlineStr">
        <is>
          <t>3I</t>
        </is>
      </c>
      <c r="E183" t="inlineStr">
        <is>
          <t>3D</t>
        </is>
      </c>
      <c r="F183" t="inlineStr">
        <is>
          <t>3A</t>
        </is>
      </c>
      <c r="G183" t="inlineStr">
        <is>
          <t>3G</t>
        </is>
      </c>
      <c r="H183" t="inlineStr">
        <is>
          <t>3L</t>
        </is>
      </c>
      <c r="I183" t="inlineStr">
        <is>
          <t>3K</t>
        </is>
      </c>
      <c r="J183" t="inlineStr">
        <is>
          <t>ADEGIJKL</t>
        </is>
      </c>
    </row>
    <row r="184">
      <c r="A184" t="n">
        <v>183</v>
      </c>
      <c r="B184" t="inlineStr">
        <is>
          <t>3E</t>
        </is>
      </c>
      <c r="C184" t="inlineStr">
        <is>
          <t>3G</t>
        </is>
      </c>
      <c r="D184" t="inlineStr">
        <is>
          <t>3J</t>
        </is>
      </c>
      <c r="E184" t="inlineStr">
        <is>
          <t>3D</t>
        </is>
      </c>
      <c r="F184" t="inlineStr">
        <is>
          <t>3A</t>
        </is>
      </c>
      <c r="G184" t="inlineStr">
        <is>
          <t>3H</t>
        </is>
      </c>
      <c r="H184" t="inlineStr">
        <is>
          <t>3L</t>
        </is>
      </c>
      <c r="I184" t="inlineStr">
        <is>
          <t>3K</t>
        </is>
      </c>
      <c r="J184" t="inlineStr">
        <is>
          <t>ADEGHJKL</t>
        </is>
      </c>
    </row>
    <row r="185">
      <c r="A185" t="n">
        <v>184</v>
      </c>
      <c r="B185" t="inlineStr">
        <is>
          <t>3E</t>
        </is>
      </c>
      <c r="C185" t="inlineStr">
        <is>
          <t>3G</t>
        </is>
      </c>
      <c r="D185" t="inlineStr">
        <is>
          <t>3I</t>
        </is>
      </c>
      <c r="E185" t="inlineStr">
        <is>
          <t>3D</t>
        </is>
      </c>
      <c r="F185" t="inlineStr">
        <is>
          <t>3A</t>
        </is>
      </c>
      <c r="G185" t="inlineStr">
        <is>
          <t>3H</t>
        </is>
      </c>
      <c r="H185" t="inlineStr">
        <is>
          <t>3L</t>
        </is>
      </c>
      <c r="I185" t="inlineStr">
        <is>
          <t>3K</t>
        </is>
      </c>
      <c r="J185" t="inlineStr">
        <is>
          <t>ADEGHIKL</t>
        </is>
      </c>
    </row>
    <row r="186">
      <c r="A186" t="n">
        <v>185</v>
      </c>
      <c r="B186" t="inlineStr">
        <is>
          <t>3E</t>
        </is>
      </c>
      <c r="C186" t="inlineStr">
        <is>
          <t>3G</t>
        </is>
      </c>
      <c r="D186" t="inlineStr">
        <is>
          <t>3J</t>
        </is>
      </c>
      <c r="E186" t="inlineStr">
        <is>
          <t>3D</t>
        </is>
      </c>
      <c r="F186" t="inlineStr">
        <is>
          <t>3A</t>
        </is>
      </c>
      <c r="G186" t="inlineStr">
        <is>
          <t>3H</t>
        </is>
      </c>
      <c r="H186" t="inlineStr">
        <is>
          <t>3L</t>
        </is>
      </c>
      <c r="I186" t="inlineStr">
        <is>
          <t>3I</t>
        </is>
      </c>
      <c r="J186" t="inlineStr">
        <is>
          <t>ADEGHIJL</t>
        </is>
      </c>
    </row>
    <row r="187">
      <c r="A187" t="n">
        <v>186</v>
      </c>
      <c r="B187" t="inlineStr">
        <is>
          <t>3E</t>
        </is>
      </c>
      <c r="C187" t="inlineStr">
        <is>
          <t>3G</t>
        </is>
      </c>
      <c r="D187" t="inlineStr">
        <is>
          <t>3J</t>
        </is>
      </c>
      <c r="E187" t="inlineStr">
        <is>
          <t>3D</t>
        </is>
      </c>
      <c r="F187" t="inlineStr">
        <is>
          <t>3A</t>
        </is>
      </c>
      <c r="G187" t="inlineStr">
        <is>
          <t>3H</t>
        </is>
      </c>
      <c r="H187" t="inlineStr">
        <is>
          <t>3I</t>
        </is>
      </c>
      <c r="I187" t="inlineStr">
        <is>
          <t>3K</t>
        </is>
      </c>
      <c r="J187" t="inlineStr">
        <is>
          <t>ADEGHIJK</t>
        </is>
      </c>
    </row>
    <row r="188">
      <c r="A188" t="n">
        <v>187</v>
      </c>
      <c r="B188" t="inlineStr">
        <is>
          <t>3E</t>
        </is>
      </c>
      <c r="C188" t="inlineStr">
        <is>
          <t>3J</t>
        </is>
      </c>
      <c r="D188" t="inlineStr">
        <is>
          <t>3I</t>
        </is>
      </c>
      <c r="E188" t="inlineStr">
        <is>
          <t>3D</t>
        </is>
      </c>
      <c r="F188" t="inlineStr">
        <is>
          <t>3A</t>
        </is>
      </c>
      <c r="G188" t="inlineStr">
        <is>
          <t>3F</t>
        </is>
      </c>
      <c r="H188" t="inlineStr">
        <is>
          <t>3L</t>
        </is>
      </c>
      <c r="I188" t="inlineStr">
        <is>
          <t>3K</t>
        </is>
      </c>
      <c r="J188" t="inlineStr">
        <is>
          <t>ADEFIJKL</t>
        </is>
      </c>
    </row>
    <row r="189">
      <c r="A189" t="n">
        <v>188</v>
      </c>
      <c r="B189" t="inlineStr">
        <is>
          <t>3H</t>
        </is>
      </c>
      <c r="C189" t="inlineStr">
        <is>
          <t>3J</t>
        </is>
      </c>
      <c r="D189" t="inlineStr">
        <is>
          <t>3E</t>
        </is>
      </c>
      <c r="E189" t="inlineStr">
        <is>
          <t>3D</t>
        </is>
      </c>
      <c r="F189" t="inlineStr">
        <is>
          <t>3A</t>
        </is>
      </c>
      <c r="G189" t="inlineStr">
        <is>
          <t>3F</t>
        </is>
      </c>
      <c r="H189" t="inlineStr">
        <is>
          <t>3L</t>
        </is>
      </c>
      <c r="I189" t="inlineStr">
        <is>
          <t>3K</t>
        </is>
      </c>
      <c r="J189" t="inlineStr">
        <is>
          <t>ADEFHJKL</t>
        </is>
      </c>
    </row>
    <row r="190">
      <c r="A190" t="n">
        <v>189</v>
      </c>
      <c r="B190" t="inlineStr">
        <is>
          <t>3H</t>
        </is>
      </c>
      <c r="C190" t="inlineStr">
        <is>
          <t>3E</t>
        </is>
      </c>
      <c r="D190" t="inlineStr">
        <is>
          <t>3I</t>
        </is>
      </c>
      <c r="E190" t="inlineStr">
        <is>
          <t>3D</t>
        </is>
      </c>
      <c r="F190" t="inlineStr">
        <is>
          <t>3A</t>
        </is>
      </c>
      <c r="G190" t="inlineStr">
        <is>
          <t>3F</t>
        </is>
      </c>
      <c r="H190" t="inlineStr">
        <is>
          <t>3L</t>
        </is>
      </c>
      <c r="I190" t="inlineStr">
        <is>
          <t>3K</t>
        </is>
      </c>
      <c r="J190" t="inlineStr">
        <is>
          <t>ADEFHIKL</t>
        </is>
      </c>
    </row>
    <row r="191">
      <c r="A191" t="n">
        <v>190</v>
      </c>
      <c r="B191" t="inlineStr">
        <is>
          <t>3H</t>
        </is>
      </c>
      <c r="C191" t="inlineStr">
        <is>
          <t>3J</t>
        </is>
      </c>
      <c r="D191" t="inlineStr">
        <is>
          <t>3E</t>
        </is>
      </c>
      <c r="E191" t="inlineStr">
        <is>
          <t>3D</t>
        </is>
      </c>
      <c r="F191" t="inlineStr">
        <is>
          <t>3A</t>
        </is>
      </c>
      <c r="G191" t="inlineStr">
        <is>
          <t>3F</t>
        </is>
      </c>
      <c r="H191" t="inlineStr">
        <is>
          <t>3L</t>
        </is>
      </c>
      <c r="I191" t="inlineStr">
        <is>
          <t>3I</t>
        </is>
      </c>
      <c r="J191" t="inlineStr">
        <is>
          <t>ADEFHIJL</t>
        </is>
      </c>
    </row>
    <row r="192">
      <c r="A192" t="n">
        <v>191</v>
      </c>
      <c r="B192" t="inlineStr">
        <is>
          <t>3H</t>
        </is>
      </c>
      <c r="C192" t="inlineStr">
        <is>
          <t>3J</t>
        </is>
      </c>
      <c r="D192" t="inlineStr">
        <is>
          <t>3E</t>
        </is>
      </c>
      <c r="E192" t="inlineStr">
        <is>
          <t>3D</t>
        </is>
      </c>
      <c r="F192" t="inlineStr">
        <is>
          <t>3A</t>
        </is>
      </c>
      <c r="G192" t="inlineStr">
        <is>
          <t>3F</t>
        </is>
      </c>
      <c r="H192" t="inlineStr">
        <is>
          <t>3I</t>
        </is>
      </c>
      <c r="I192" t="inlineStr">
        <is>
          <t>3K</t>
        </is>
      </c>
      <c r="J192" t="inlineStr">
        <is>
          <t>ADEFHIJK</t>
        </is>
      </c>
    </row>
    <row r="193">
      <c r="A193" t="n">
        <v>192</v>
      </c>
      <c r="B193" t="inlineStr">
        <is>
          <t>3E</t>
        </is>
      </c>
      <c r="C193" t="inlineStr">
        <is>
          <t>3G</t>
        </is>
      </c>
      <c r="D193" t="inlineStr">
        <is>
          <t>3J</t>
        </is>
      </c>
      <c r="E193" t="inlineStr">
        <is>
          <t>3D</t>
        </is>
      </c>
      <c r="F193" t="inlineStr">
        <is>
          <t>3A</t>
        </is>
      </c>
      <c r="G193" t="inlineStr">
        <is>
          <t>3F</t>
        </is>
      </c>
      <c r="H193" t="inlineStr">
        <is>
          <t>3L</t>
        </is>
      </c>
      <c r="I193" t="inlineStr">
        <is>
          <t>3K</t>
        </is>
      </c>
      <c r="J193" t="inlineStr">
        <is>
          <t>ADEFGJKL</t>
        </is>
      </c>
    </row>
    <row r="194">
      <c r="A194" t="n">
        <v>193</v>
      </c>
      <c r="B194" t="inlineStr">
        <is>
          <t>3E</t>
        </is>
      </c>
      <c r="C194" t="inlineStr">
        <is>
          <t>3G</t>
        </is>
      </c>
      <c r="D194" t="inlineStr">
        <is>
          <t>3I</t>
        </is>
      </c>
      <c r="E194" t="inlineStr">
        <is>
          <t>3D</t>
        </is>
      </c>
      <c r="F194" t="inlineStr">
        <is>
          <t>3A</t>
        </is>
      </c>
      <c r="G194" t="inlineStr">
        <is>
          <t>3F</t>
        </is>
      </c>
      <c r="H194" t="inlineStr">
        <is>
          <t>3L</t>
        </is>
      </c>
      <c r="I194" t="inlineStr">
        <is>
          <t>3K</t>
        </is>
      </c>
      <c r="J194" t="inlineStr">
        <is>
          <t>ADEFGIKL</t>
        </is>
      </c>
    </row>
    <row r="195">
      <c r="A195" t="n">
        <v>194</v>
      </c>
      <c r="B195" t="inlineStr">
        <is>
          <t>3E</t>
        </is>
      </c>
      <c r="C195" t="inlineStr">
        <is>
          <t>3G</t>
        </is>
      </c>
      <c r="D195" t="inlineStr">
        <is>
          <t>3J</t>
        </is>
      </c>
      <c r="E195" t="inlineStr">
        <is>
          <t>3D</t>
        </is>
      </c>
      <c r="F195" t="inlineStr">
        <is>
          <t>3A</t>
        </is>
      </c>
      <c r="G195" t="inlineStr">
        <is>
          <t>3F</t>
        </is>
      </c>
      <c r="H195" t="inlineStr">
        <is>
          <t>3L</t>
        </is>
      </c>
      <c r="I195" t="inlineStr">
        <is>
          <t>3I</t>
        </is>
      </c>
      <c r="J195" t="inlineStr">
        <is>
          <t>ADEFGIJL</t>
        </is>
      </c>
    </row>
    <row r="196">
      <c r="A196" t="n">
        <v>195</v>
      </c>
      <c r="B196" t="inlineStr">
        <is>
          <t>3E</t>
        </is>
      </c>
      <c r="C196" t="inlineStr">
        <is>
          <t>3G</t>
        </is>
      </c>
      <c r="D196" t="inlineStr">
        <is>
          <t>3J</t>
        </is>
      </c>
      <c r="E196" t="inlineStr">
        <is>
          <t>3D</t>
        </is>
      </c>
      <c r="F196" t="inlineStr">
        <is>
          <t>3A</t>
        </is>
      </c>
      <c r="G196" t="inlineStr">
        <is>
          <t>3F</t>
        </is>
      </c>
      <c r="H196" t="inlineStr">
        <is>
          <t>3I</t>
        </is>
      </c>
      <c r="I196" t="inlineStr">
        <is>
          <t>3K</t>
        </is>
      </c>
      <c r="J196" t="inlineStr">
        <is>
          <t>ADEFGIJK</t>
        </is>
      </c>
    </row>
    <row r="197">
      <c r="A197" t="n">
        <v>196</v>
      </c>
      <c r="B197" t="inlineStr">
        <is>
          <t>3H</t>
        </is>
      </c>
      <c r="C197" t="inlineStr">
        <is>
          <t>3G</t>
        </is>
      </c>
      <c r="D197" t="inlineStr">
        <is>
          <t>3E</t>
        </is>
      </c>
      <c r="E197" t="inlineStr">
        <is>
          <t>3D</t>
        </is>
      </c>
      <c r="F197" t="inlineStr">
        <is>
          <t>3A</t>
        </is>
      </c>
      <c r="G197" t="inlineStr">
        <is>
          <t>3F</t>
        </is>
      </c>
      <c r="H197" t="inlineStr">
        <is>
          <t>3L</t>
        </is>
      </c>
      <c r="I197" t="inlineStr">
        <is>
          <t>3K</t>
        </is>
      </c>
      <c r="J197" t="inlineStr">
        <is>
          <t>ADEFGHKL</t>
        </is>
      </c>
    </row>
    <row r="198">
      <c r="A198" t="n">
        <v>197</v>
      </c>
      <c r="B198" t="inlineStr">
        <is>
          <t>3H</t>
        </is>
      </c>
      <c r="C198" t="inlineStr">
        <is>
          <t>3G</t>
        </is>
      </c>
      <c r="D198" t="inlineStr">
        <is>
          <t>3J</t>
        </is>
      </c>
      <c r="E198" t="inlineStr">
        <is>
          <t>3D</t>
        </is>
      </c>
      <c r="F198" t="inlineStr">
        <is>
          <t>3A</t>
        </is>
      </c>
      <c r="G198" t="inlineStr">
        <is>
          <t>3F</t>
        </is>
      </c>
      <c r="H198" t="inlineStr">
        <is>
          <t>3L</t>
        </is>
      </c>
      <c r="I198" t="inlineStr">
        <is>
          <t>3E</t>
        </is>
      </c>
      <c r="J198" t="inlineStr">
        <is>
          <t>ADEFGHJL</t>
        </is>
      </c>
    </row>
    <row r="199">
      <c r="A199" t="n">
        <v>198</v>
      </c>
      <c r="B199" t="inlineStr">
        <is>
          <t>3H</t>
        </is>
      </c>
      <c r="C199" t="inlineStr">
        <is>
          <t>3G</t>
        </is>
      </c>
      <c r="D199" t="inlineStr">
        <is>
          <t>3J</t>
        </is>
      </c>
      <c r="E199" t="inlineStr">
        <is>
          <t>3D</t>
        </is>
      </c>
      <c r="F199" t="inlineStr">
        <is>
          <t>3A</t>
        </is>
      </c>
      <c r="G199" t="inlineStr">
        <is>
          <t>3F</t>
        </is>
      </c>
      <c r="H199" t="inlineStr">
        <is>
          <t>3E</t>
        </is>
      </c>
      <c r="I199" t="inlineStr">
        <is>
          <t>3K</t>
        </is>
      </c>
      <c r="J199" t="inlineStr">
        <is>
          <t>ADEFGHJK</t>
        </is>
      </c>
    </row>
    <row r="200">
      <c r="A200" t="n">
        <v>199</v>
      </c>
      <c r="B200" t="inlineStr">
        <is>
          <t>3H</t>
        </is>
      </c>
      <c r="C200" t="inlineStr">
        <is>
          <t>3G</t>
        </is>
      </c>
      <c r="D200" t="inlineStr">
        <is>
          <t>3E</t>
        </is>
      </c>
      <c r="E200" t="inlineStr">
        <is>
          <t>3D</t>
        </is>
      </c>
      <c r="F200" t="inlineStr">
        <is>
          <t>3A</t>
        </is>
      </c>
      <c r="G200" t="inlineStr">
        <is>
          <t>3F</t>
        </is>
      </c>
      <c r="H200" t="inlineStr">
        <is>
          <t>3L</t>
        </is>
      </c>
      <c r="I200" t="inlineStr">
        <is>
          <t>3I</t>
        </is>
      </c>
      <c r="J200" t="inlineStr">
        <is>
          <t>ADEFGHIL</t>
        </is>
      </c>
    </row>
    <row r="201">
      <c r="A201" t="n">
        <v>200</v>
      </c>
      <c r="B201" t="inlineStr">
        <is>
          <t>3H</t>
        </is>
      </c>
      <c r="C201" t="inlineStr">
        <is>
          <t>3G</t>
        </is>
      </c>
      <c r="D201" t="inlineStr">
        <is>
          <t>3E</t>
        </is>
      </c>
      <c r="E201" t="inlineStr">
        <is>
          <t>3D</t>
        </is>
      </c>
      <c r="F201" t="inlineStr">
        <is>
          <t>3A</t>
        </is>
      </c>
      <c r="G201" t="inlineStr">
        <is>
          <t>3F</t>
        </is>
      </c>
      <c r="H201" t="inlineStr">
        <is>
          <t>3I</t>
        </is>
      </c>
      <c r="I201" t="inlineStr">
        <is>
          <t>3K</t>
        </is>
      </c>
      <c r="J201" t="inlineStr">
        <is>
          <t>ADEFGHIK</t>
        </is>
      </c>
    </row>
    <row r="202">
      <c r="A202" t="n">
        <v>201</v>
      </c>
      <c r="B202" t="inlineStr">
        <is>
          <t>3H</t>
        </is>
      </c>
      <c r="C202" t="inlineStr">
        <is>
          <t>3G</t>
        </is>
      </c>
      <c r="D202" t="inlineStr">
        <is>
          <t>3J</t>
        </is>
      </c>
      <c r="E202" t="inlineStr">
        <is>
          <t>3D</t>
        </is>
      </c>
      <c r="F202" t="inlineStr">
        <is>
          <t>3A</t>
        </is>
      </c>
      <c r="G202" t="inlineStr">
        <is>
          <t>3F</t>
        </is>
      </c>
      <c r="H202" t="inlineStr">
        <is>
          <t>3E</t>
        </is>
      </c>
      <c r="I202" t="inlineStr">
        <is>
          <t>3I</t>
        </is>
      </c>
      <c r="J202" t="inlineStr">
        <is>
          <t>ADEFGHIJ</t>
        </is>
      </c>
    </row>
    <row r="203">
      <c r="A203" t="n">
        <v>202</v>
      </c>
      <c r="B203" t="inlineStr">
        <is>
          <t>3H</t>
        </is>
      </c>
      <c r="C203" t="inlineStr">
        <is>
          <t>3J</t>
        </is>
      </c>
      <c r="D203" t="inlineStr">
        <is>
          <t>3I</t>
        </is>
      </c>
      <c r="E203" t="inlineStr">
        <is>
          <t>3C</t>
        </is>
      </c>
      <c r="F203" t="inlineStr">
        <is>
          <t>3A</t>
        </is>
      </c>
      <c r="G203" t="inlineStr">
        <is>
          <t>3G</t>
        </is>
      </c>
      <c r="H203" t="inlineStr">
        <is>
          <t>3L</t>
        </is>
      </c>
      <c r="I203" t="inlineStr">
        <is>
          <t>3K</t>
        </is>
      </c>
      <c r="J203" t="inlineStr">
        <is>
          <t>ACGHIJKL</t>
        </is>
      </c>
    </row>
    <row r="204">
      <c r="A204" t="n">
        <v>203</v>
      </c>
      <c r="B204" t="inlineStr">
        <is>
          <t>3H</t>
        </is>
      </c>
      <c r="C204" t="inlineStr">
        <is>
          <t>3J</t>
        </is>
      </c>
      <c r="D204" t="inlineStr">
        <is>
          <t>3I</t>
        </is>
      </c>
      <c r="E204" t="inlineStr">
        <is>
          <t>3C</t>
        </is>
      </c>
      <c r="F204" t="inlineStr">
        <is>
          <t>3A</t>
        </is>
      </c>
      <c r="G204" t="inlineStr">
        <is>
          <t>3F</t>
        </is>
      </c>
      <c r="H204" t="inlineStr">
        <is>
          <t>3L</t>
        </is>
      </c>
      <c r="I204" t="inlineStr">
        <is>
          <t>3K</t>
        </is>
      </c>
      <c r="J204" t="inlineStr">
        <is>
          <t>ACFHIJKL</t>
        </is>
      </c>
    </row>
    <row r="205">
      <c r="A205" t="n">
        <v>204</v>
      </c>
      <c r="B205" t="inlineStr">
        <is>
          <t>3I</t>
        </is>
      </c>
      <c r="C205" t="inlineStr">
        <is>
          <t>3G</t>
        </is>
      </c>
      <c r="D205" t="inlineStr">
        <is>
          <t>3J</t>
        </is>
      </c>
      <c r="E205" t="inlineStr">
        <is>
          <t>3C</t>
        </is>
      </c>
      <c r="F205" t="inlineStr">
        <is>
          <t>3A</t>
        </is>
      </c>
      <c r="G205" t="inlineStr">
        <is>
          <t>3F</t>
        </is>
      </c>
      <c r="H205" t="inlineStr">
        <is>
          <t>3L</t>
        </is>
      </c>
      <c r="I205" t="inlineStr">
        <is>
          <t>3K</t>
        </is>
      </c>
      <c r="J205" t="inlineStr">
        <is>
          <t>ACFGIJKL</t>
        </is>
      </c>
    </row>
    <row r="206">
      <c r="A206" t="n">
        <v>205</v>
      </c>
      <c r="B206" t="inlineStr">
        <is>
          <t>3H</t>
        </is>
      </c>
      <c r="C206" t="inlineStr">
        <is>
          <t>3G</t>
        </is>
      </c>
      <c r="D206" t="inlineStr">
        <is>
          <t>3J</t>
        </is>
      </c>
      <c r="E206" t="inlineStr">
        <is>
          <t>3C</t>
        </is>
      </c>
      <c r="F206" t="inlineStr">
        <is>
          <t>3A</t>
        </is>
      </c>
      <c r="G206" t="inlineStr">
        <is>
          <t>3F</t>
        </is>
      </c>
      <c r="H206" t="inlineStr">
        <is>
          <t>3L</t>
        </is>
      </c>
      <c r="I206" t="inlineStr">
        <is>
          <t>3K</t>
        </is>
      </c>
      <c r="J206" t="inlineStr">
        <is>
          <t>ACFGHJKL</t>
        </is>
      </c>
    </row>
    <row r="207">
      <c r="A207" t="n">
        <v>206</v>
      </c>
      <c r="B207" t="inlineStr">
        <is>
          <t>3H</t>
        </is>
      </c>
      <c r="C207" t="inlineStr">
        <is>
          <t>3G</t>
        </is>
      </c>
      <c r="D207" t="inlineStr">
        <is>
          <t>3I</t>
        </is>
      </c>
      <c r="E207" t="inlineStr">
        <is>
          <t>3C</t>
        </is>
      </c>
      <c r="F207" t="inlineStr">
        <is>
          <t>3A</t>
        </is>
      </c>
      <c r="G207" t="inlineStr">
        <is>
          <t>3F</t>
        </is>
      </c>
      <c r="H207" t="inlineStr">
        <is>
          <t>3L</t>
        </is>
      </c>
      <c r="I207" t="inlineStr">
        <is>
          <t>3K</t>
        </is>
      </c>
      <c r="J207" t="inlineStr">
        <is>
          <t>ACFGHIKL</t>
        </is>
      </c>
    </row>
    <row r="208">
      <c r="A208" t="n">
        <v>207</v>
      </c>
      <c r="B208" t="inlineStr">
        <is>
          <t>3H</t>
        </is>
      </c>
      <c r="C208" t="inlineStr">
        <is>
          <t>3G</t>
        </is>
      </c>
      <c r="D208" t="inlineStr">
        <is>
          <t>3J</t>
        </is>
      </c>
      <c r="E208" t="inlineStr">
        <is>
          <t>3C</t>
        </is>
      </c>
      <c r="F208" t="inlineStr">
        <is>
          <t>3A</t>
        </is>
      </c>
      <c r="G208" t="inlineStr">
        <is>
          <t>3F</t>
        </is>
      </c>
      <c r="H208" t="inlineStr">
        <is>
          <t>3L</t>
        </is>
      </c>
      <c r="I208" t="inlineStr">
        <is>
          <t>3I</t>
        </is>
      </c>
      <c r="J208" t="inlineStr">
        <is>
          <t>ACFGHIJL</t>
        </is>
      </c>
    </row>
    <row r="209">
      <c r="A209" t="n">
        <v>208</v>
      </c>
      <c r="B209" t="inlineStr">
        <is>
          <t>3H</t>
        </is>
      </c>
      <c r="C209" t="inlineStr">
        <is>
          <t>3G</t>
        </is>
      </c>
      <c r="D209" t="inlineStr">
        <is>
          <t>3J</t>
        </is>
      </c>
      <c r="E209" t="inlineStr">
        <is>
          <t>3C</t>
        </is>
      </c>
      <c r="F209" t="inlineStr">
        <is>
          <t>3A</t>
        </is>
      </c>
      <c r="G209" t="inlineStr">
        <is>
          <t>3F</t>
        </is>
      </c>
      <c r="H209" t="inlineStr">
        <is>
          <t>3I</t>
        </is>
      </c>
      <c r="I209" t="inlineStr">
        <is>
          <t>3K</t>
        </is>
      </c>
      <c r="J209" t="inlineStr">
        <is>
          <t>ACFGHIJK</t>
        </is>
      </c>
    </row>
    <row r="210">
      <c r="A210" t="n">
        <v>209</v>
      </c>
      <c r="B210" t="inlineStr">
        <is>
          <t>3E</t>
        </is>
      </c>
      <c r="C210" t="inlineStr">
        <is>
          <t>3J</t>
        </is>
      </c>
      <c r="D210" t="inlineStr">
        <is>
          <t>3I</t>
        </is>
      </c>
      <c r="E210" t="inlineStr">
        <is>
          <t>3C</t>
        </is>
      </c>
      <c r="F210" t="inlineStr">
        <is>
          <t>3A</t>
        </is>
      </c>
      <c r="G210" t="inlineStr">
        <is>
          <t>3H</t>
        </is>
      </c>
      <c r="H210" t="inlineStr">
        <is>
          <t>3L</t>
        </is>
      </c>
      <c r="I210" t="inlineStr">
        <is>
          <t>3K</t>
        </is>
      </c>
      <c r="J210" t="inlineStr">
        <is>
          <t>ACEHIJKL</t>
        </is>
      </c>
    </row>
    <row r="211">
      <c r="A211" t="n">
        <v>210</v>
      </c>
      <c r="B211" t="inlineStr">
        <is>
          <t>3E</t>
        </is>
      </c>
      <c r="C211" t="inlineStr">
        <is>
          <t>3J</t>
        </is>
      </c>
      <c r="D211" t="inlineStr">
        <is>
          <t>3I</t>
        </is>
      </c>
      <c r="E211" t="inlineStr">
        <is>
          <t>3C</t>
        </is>
      </c>
      <c r="F211" t="inlineStr">
        <is>
          <t>3A</t>
        </is>
      </c>
      <c r="G211" t="inlineStr">
        <is>
          <t>3G</t>
        </is>
      </c>
      <c r="H211" t="inlineStr">
        <is>
          <t>3L</t>
        </is>
      </c>
      <c r="I211" t="inlineStr">
        <is>
          <t>3K</t>
        </is>
      </c>
      <c r="J211" t="inlineStr">
        <is>
          <t>ACEGIJKL</t>
        </is>
      </c>
    </row>
    <row r="212">
      <c r="A212" t="n">
        <v>211</v>
      </c>
      <c r="B212" t="inlineStr">
        <is>
          <t>3E</t>
        </is>
      </c>
      <c r="C212" t="inlineStr">
        <is>
          <t>3G</t>
        </is>
      </c>
      <c r="D212" t="inlineStr">
        <is>
          <t>3J</t>
        </is>
      </c>
      <c r="E212" t="inlineStr">
        <is>
          <t>3C</t>
        </is>
      </c>
      <c r="F212" t="inlineStr">
        <is>
          <t>3A</t>
        </is>
      </c>
      <c r="G212" t="inlineStr">
        <is>
          <t>3H</t>
        </is>
      </c>
      <c r="H212" t="inlineStr">
        <is>
          <t>3L</t>
        </is>
      </c>
      <c r="I212" t="inlineStr">
        <is>
          <t>3K</t>
        </is>
      </c>
      <c r="J212" t="inlineStr">
        <is>
          <t>ACEGHJKL</t>
        </is>
      </c>
    </row>
    <row r="213">
      <c r="A213" t="n">
        <v>212</v>
      </c>
      <c r="B213" t="inlineStr">
        <is>
          <t>3E</t>
        </is>
      </c>
      <c r="C213" t="inlineStr">
        <is>
          <t>3G</t>
        </is>
      </c>
      <c r="D213" t="inlineStr">
        <is>
          <t>3I</t>
        </is>
      </c>
      <c r="E213" t="inlineStr">
        <is>
          <t>3C</t>
        </is>
      </c>
      <c r="F213" t="inlineStr">
        <is>
          <t>3A</t>
        </is>
      </c>
      <c r="G213" t="inlineStr">
        <is>
          <t>3H</t>
        </is>
      </c>
      <c r="H213" t="inlineStr">
        <is>
          <t>3L</t>
        </is>
      </c>
      <c r="I213" t="inlineStr">
        <is>
          <t>3K</t>
        </is>
      </c>
      <c r="J213" t="inlineStr">
        <is>
          <t>ACEGHIKL</t>
        </is>
      </c>
    </row>
    <row r="214">
      <c r="A214" t="n">
        <v>213</v>
      </c>
      <c r="B214" t="inlineStr">
        <is>
          <t>3E</t>
        </is>
      </c>
      <c r="C214" t="inlineStr">
        <is>
          <t>3G</t>
        </is>
      </c>
      <c r="D214" t="inlineStr">
        <is>
          <t>3J</t>
        </is>
      </c>
      <c r="E214" t="inlineStr">
        <is>
          <t>3C</t>
        </is>
      </c>
      <c r="F214" t="inlineStr">
        <is>
          <t>3A</t>
        </is>
      </c>
      <c r="G214" t="inlineStr">
        <is>
          <t>3H</t>
        </is>
      </c>
      <c r="H214" t="inlineStr">
        <is>
          <t>3L</t>
        </is>
      </c>
      <c r="I214" t="inlineStr">
        <is>
          <t>3I</t>
        </is>
      </c>
      <c r="J214" t="inlineStr">
        <is>
          <t>ACEGHIJL</t>
        </is>
      </c>
    </row>
    <row r="215">
      <c r="A215" t="n">
        <v>214</v>
      </c>
      <c r="B215" t="inlineStr">
        <is>
          <t>3E</t>
        </is>
      </c>
      <c r="C215" t="inlineStr">
        <is>
          <t>3G</t>
        </is>
      </c>
      <c r="D215" t="inlineStr">
        <is>
          <t>3J</t>
        </is>
      </c>
      <c r="E215" t="inlineStr">
        <is>
          <t>3C</t>
        </is>
      </c>
      <c r="F215" t="inlineStr">
        <is>
          <t>3A</t>
        </is>
      </c>
      <c r="G215" t="inlineStr">
        <is>
          <t>3H</t>
        </is>
      </c>
      <c r="H215" t="inlineStr">
        <is>
          <t>3I</t>
        </is>
      </c>
      <c r="I215" t="inlineStr">
        <is>
          <t>3K</t>
        </is>
      </c>
      <c r="J215" t="inlineStr">
        <is>
          <t>ACEGHIJK</t>
        </is>
      </c>
    </row>
    <row r="216">
      <c r="A216" t="n">
        <v>215</v>
      </c>
      <c r="B216" t="inlineStr">
        <is>
          <t>3E</t>
        </is>
      </c>
      <c r="C216" t="inlineStr">
        <is>
          <t>3J</t>
        </is>
      </c>
      <c r="D216" t="inlineStr">
        <is>
          <t>3I</t>
        </is>
      </c>
      <c r="E216" t="inlineStr">
        <is>
          <t>3C</t>
        </is>
      </c>
      <c r="F216" t="inlineStr">
        <is>
          <t>3A</t>
        </is>
      </c>
      <c r="G216" t="inlineStr">
        <is>
          <t>3F</t>
        </is>
      </c>
      <c r="H216" t="inlineStr">
        <is>
          <t>3L</t>
        </is>
      </c>
      <c r="I216" t="inlineStr">
        <is>
          <t>3K</t>
        </is>
      </c>
      <c r="J216" t="inlineStr">
        <is>
          <t>ACEFIJKL</t>
        </is>
      </c>
    </row>
    <row r="217">
      <c r="A217" t="n">
        <v>216</v>
      </c>
      <c r="B217" t="inlineStr">
        <is>
          <t>3H</t>
        </is>
      </c>
      <c r="C217" t="inlineStr">
        <is>
          <t>3J</t>
        </is>
      </c>
      <c r="D217" t="inlineStr">
        <is>
          <t>3E</t>
        </is>
      </c>
      <c r="E217" t="inlineStr">
        <is>
          <t>3C</t>
        </is>
      </c>
      <c r="F217" t="inlineStr">
        <is>
          <t>3A</t>
        </is>
      </c>
      <c r="G217" t="inlineStr">
        <is>
          <t>3F</t>
        </is>
      </c>
      <c r="H217" t="inlineStr">
        <is>
          <t>3L</t>
        </is>
      </c>
      <c r="I217" t="inlineStr">
        <is>
          <t>3K</t>
        </is>
      </c>
      <c r="J217" t="inlineStr">
        <is>
          <t>ACEFHJKL</t>
        </is>
      </c>
    </row>
    <row r="218">
      <c r="A218" t="n">
        <v>217</v>
      </c>
      <c r="B218" t="inlineStr">
        <is>
          <t>3H</t>
        </is>
      </c>
      <c r="C218" t="inlineStr">
        <is>
          <t>3E</t>
        </is>
      </c>
      <c r="D218" t="inlineStr">
        <is>
          <t>3I</t>
        </is>
      </c>
      <c r="E218" t="inlineStr">
        <is>
          <t>3C</t>
        </is>
      </c>
      <c r="F218" t="inlineStr">
        <is>
          <t>3A</t>
        </is>
      </c>
      <c r="G218" t="inlineStr">
        <is>
          <t>3F</t>
        </is>
      </c>
      <c r="H218" t="inlineStr">
        <is>
          <t>3L</t>
        </is>
      </c>
      <c r="I218" t="inlineStr">
        <is>
          <t>3K</t>
        </is>
      </c>
      <c r="J218" t="inlineStr">
        <is>
          <t>ACEFHIKL</t>
        </is>
      </c>
    </row>
    <row r="219">
      <c r="A219" t="n">
        <v>218</v>
      </c>
      <c r="B219" t="inlineStr">
        <is>
          <t>3H</t>
        </is>
      </c>
      <c r="C219" t="inlineStr">
        <is>
          <t>3J</t>
        </is>
      </c>
      <c r="D219" t="inlineStr">
        <is>
          <t>3E</t>
        </is>
      </c>
      <c r="E219" t="inlineStr">
        <is>
          <t>3C</t>
        </is>
      </c>
      <c r="F219" t="inlineStr">
        <is>
          <t>3A</t>
        </is>
      </c>
      <c r="G219" t="inlineStr">
        <is>
          <t>3F</t>
        </is>
      </c>
      <c r="H219" t="inlineStr">
        <is>
          <t>3L</t>
        </is>
      </c>
      <c r="I219" t="inlineStr">
        <is>
          <t>3I</t>
        </is>
      </c>
      <c r="J219" t="inlineStr">
        <is>
          <t>ACEFHIJL</t>
        </is>
      </c>
    </row>
    <row r="220">
      <c r="A220" t="n">
        <v>219</v>
      </c>
      <c r="B220" t="inlineStr">
        <is>
          <t>3H</t>
        </is>
      </c>
      <c r="C220" t="inlineStr">
        <is>
          <t>3J</t>
        </is>
      </c>
      <c r="D220" t="inlineStr">
        <is>
          <t>3E</t>
        </is>
      </c>
      <c r="E220" t="inlineStr">
        <is>
          <t>3C</t>
        </is>
      </c>
      <c r="F220" t="inlineStr">
        <is>
          <t>3A</t>
        </is>
      </c>
      <c r="G220" t="inlineStr">
        <is>
          <t>3F</t>
        </is>
      </c>
      <c r="H220" t="inlineStr">
        <is>
          <t>3I</t>
        </is>
      </c>
      <c r="I220" t="inlineStr">
        <is>
          <t>3K</t>
        </is>
      </c>
      <c r="J220" t="inlineStr">
        <is>
          <t>ACEFHIJK</t>
        </is>
      </c>
    </row>
    <row r="221">
      <c r="A221" t="n">
        <v>220</v>
      </c>
      <c r="B221" t="inlineStr">
        <is>
          <t>3E</t>
        </is>
      </c>
      <c r="C221" t="inlineStr">
        <is>
          <t>3G</t>
        </is>
      </c>
      <c r="D221" t="inlineStr">
        <is>
          <t>3J</t>
        </is>
      </c>
      <c r="E221" t="inlineStr">
        <is>
          <t>3C</t>
        </is>
      </c>
      <c r="F221" t="inlineStr">
        <is>
          <t>3A</t>
        </is>
      </c>
      <c r="G221" t="inlineStr">
        <is>
          <t>3F</t>
        </is>
      </c>
      <c r="H221" t="inlineStr">
        <is>
          <t>3L</t>
        </is>
      </c>
      <c r="I221" t="inlineStr">
        <is>
          <t>3K</t>
        </is>
      </c>
      <c r="J221" t="inlineStr">
        <is>
          <t>ACEFGJKL</t>
        </is>
      </c>
    </row>
    <row r="222">
      <c r="A222" t="n">
        <v>221</v>
      </c>
      <c r="B222" t="inlineStr">
        <is>
          <t>3E</t>
        </is>
      </c>
      <c r="C222" t="inlineStr">
        <is>
          <t>3G</t>
        </is>
      </c>
      <c r="D222" t="inlineStr">
        <is>
          <t>3I</t>
        </is>
      </c>
      <c r="E222" t="inlineStr">
        <is>
          <t>3C</t>
        </is>
      </c>
      <c r="F222" t="inlineStr">
        <is>
          <t>3A</t>
        </is>
      </c>
      <c r="G222" t="inlineStr">
        <is>
          <t>3F</t>
        </is>
      </c>
      <c r="H222" t="inlineStr">
        <is>
          <t>3L</t>
        </is>
      </c>
      <c r="I222" t="inlineStr">
        <is>
          <t>3K</t>
        </is>
      </c>
      <c r="J222" t="inlineStr">
        <is>
          <t>ACEFGIKL</t>
        </is>
      </c>
    </row>
    <row r="223">
      <c r="A223" t="n">
        <v>222</v>
      </c>
      <c r="B223" t="inlineStr">
        <is>
          <t>3E</t>
        </is>
      </c>
      <c r="C223" t="inlineStr">
        <is>
          <t>3G</t>
        </is>
      </c>
      <c r="D223" t="inlineStr">
        <is>
          <t>3J</t>
        </is>
      </c>
      <c r="E223" t="inlineStr">
        <is>
          <t>3C</t>
        </is>
      </c>
      <c r="F223" t="inlineStr">
        <is>
          <t>3A</t>
        </is>
      </c>
      <c r="G223" t="inlineStr">
        <is>
          <t>3F</t>
        </is>
      </c>
      <c r="H223" t="inlineStr">
        <is>
          <t>3L</t>
        </is>
      </c>
      <c r="I223" t="inlineStr">
        <is>
          <t>3I</t>
        </is>
      </c>
      <c r="J223" t="inlineStr">
        <is>
          <t>ACEFGIJL</t>
        </is>
      </c>
    </row>
    <row r="224">
      <c r="A224" t="n">
        <v>223</v>
      </c>
      <c r="B224" t="inlineStr">
        <is>
          <t>3E</t>
        </is>
      </c>
      <c r="C224" t="inlineStr">
        <is>
          <t>3G</t>
        </is>
      </c>
      <c r="D224" t="inlineStr">
        <is>
          <t>3J</t>
        </is>
      </c>
      <c r="E224" t="inlineStr">
        <is>
          <t>3C</t>
        </is>
      </c>
      <c r="F224" t="inlineStr">
        <is>
          <t>3A</t>
        </is>
      </c>
      <c r="G224" t="inlineStr">
        <is>
          <t>3F</t>
        </is>
      </c>
      <c r="H224" t="inlineStr">
        <is>
          <t>3I</t>
        </is>
      </c>
      <c r="I224" t="inlineStr">
        <is>
          <t>3K</t>
        </is>
      </c>
      <c r="J224" t="inlineStr">
        <is>
          <t>ACEFGIJK</t>
        </is>
      </c>
    </row>
    <row r="225">
      <c r="A225" t="n">
        <v>224</v>
      </c>
      <c r="B225" t="inlineStr">
        <is>
          <t>3H</t>
        </is>
      </c>
      <c r="C225" t="inlineStr">
        <is>
          <t>3G</t>
        </is>
      </c>
      <c r="D225" t="inlineStr">
        <is>
          <t>3E</t>
        </is>
      </c>
      <c r="E225" t="inlineStr">
        <is>
          <t>3C</t>
        </is>
      </c>
      <c r="F225" t="inlineStr">
        <is>
          <t>3A</t>
        </is>
      </c>
      <c r="G225" t="inlineStr">
        <is>
          <t>3F</t>
        </is>
      </c>
      <c r="H225" t="inlineStr">
        <is>
          <t>3L</t>
        </is>
      </c>
      <c r="I225" t="inlineStr">
        <is>
          <t>3K</t>
        </is>
      </c>
      <c r="J225" t="inlineStr">
        <is>
          <t>ACEFGHKL</t>
        </is>
      </c>
    </row>
    <row r="226">
      <c r="A226" t="n">
        <v>225</v>
      </c>
      <c r="B226" t="inlineStr">
        <is>
          <t>3H</t>
        </is>
      </c>
      <c r="C226" t="inlineStr">
        <is>
          <t>3G</t>
        </is>
      </c>
      <c r="D226" t="inlineStr">
        <is>
          <t>3J</t>
        </is>
      </c>
      <c r="E226" t="inlineStr">
        <is>
          <t>3C</t>
        </is>
      </c>
      <c r="F226" t="inlineStr">
        <is>
          <t>3A</t>
        </is>
      </c>
      <c r="G226" t="inlineStr">
        <is>
          <t>3F</t>
        </is>
      </c>
      <c r="H226" t="inlineStr">
        <is>
          <t>3L</t>
        </is>
      </c>
      <c r="I226" t="inlineStr">
        <is>
          <t>3E</t>
        </is>
      </c>
      <c r="J226" t="inlineStr">
        <is>
          <t>ACEFGHJL</t>
        </is>
      </c>
    </row>
    <row r="227">
      <c r="A227" t="n">
        <v>226</v>
      </c>
      <c r="B227" t="inlineStr">
        <is>
          <t>3H</t>
        </is>
      </c>
      <c r="C227" t="inlineStr">
        <is>
          <t>3G</t>
        </is>
      </c>
      <c r="D227" t="inlineStr">
        <is>
          <t>3J</t>
        </is>
      </c>
      <c r="E227" t="inlineStr">
        <is>
          <t>3C</t>
        </is>
      </c>
      <c r="F227" t="inlineStr">
        <is>
          <t>3A</t>
        </is>
      </c>
      <c r="G227" t="inlineStr">
        <is>
          <t>3F</t>
        </is>
      </c>
      <c r="H227" t="inlineStr">
        <is>
          <t>3E</t>
        </is>
      </c>
      <c r="I227" t="inlineStr">
        <is>
          <t>3K</t>
        </is>
      </c>
      <c r="J227" t="inlineStr">
        <is>
          <t>ACEFGHJK</t>
        </is>
      </c>
    </row>
    <row r="228">
      <c r="A228" t="n">
        <v>227</v>
      </c>
      <c r="B228" t="inlineStr">
        <is>
          <t>3H</t>
        </is>
      </c>
      <c r="C228" t="inlineStr">
        <is>
          <t>3G</t>
        </is>
      </c>
      <c r="D228" t="inlineStr">
        <is>
          <t>3E</t>
        </is>
      </c>
      <c r="E228" t="inlineStr">
        <is>
          <t>3C</t>
        </is>
      </c>
      <c r="F228" t="inlineStr">
        <is>
          <t>3A</t>
        </is>
      </c>
      <c r="G228" t="inlineStr">
        <is>
          <t>3F</t>
        </is>
      </c>
      <c r="H228" t="inlineStr">
        <is>
          <t>3L</t>
        </is>
      </c>
      <c r="I228" t="inlineStr">
        <is>
          <t>3I</t>
        </is>
      </c>
      <c r="J228" t="inlineStr">
        <is>
          <t>ACEFGHIL</t>
        </is>
      </c>
    </row>
    <row r="229">
      <c r="A229" t="n">
        <v>228</v>
      </c>
      <c r="B229" t="inlineStr">
        <is>
          <t>3H</t>
        </is>
      </c>
      <c r="C229" t="inlineStr">
        <is>
          <t>3G</t>
        </is>
      </c>
      <c r="D229" t="inlineStr">
        <is>
          <t>3E</t>
        </is>
      </c>
      <c r="E229" t="inlineStr">
        <is>
          <t>3C</t>
        </is>
      </c>
      <c r="F229" t="inlineStr">
        <is>
          <t>3A</t>
        </is>
      </c>
      <c r="G229" t="inlineStr">
        <is>
          <t>3F</t>
        </is>
      </c>
      <c r="H229" t="inlineStr">
        <is>
          <t>3I</t>
        </is>
      </c>
      <c r="I229" t="inlineStr">
        <is>
          <t>3K</t>
        </is>
      </c>
      <c r="J229" t="inlineStr">
        <is>
          <t>ACEFGHIK</t>
        </is>
      </c>
    </row>
    <row r="230">
      <c r="A230" t="n">
        <v>229</v>
      </c>
      <c r="B230" t="inlineStr">
        <is>
          <t>3H</t>
        </is>
      </c>
      <c r="C230" t="inlineStr">
        <is>
          <t>3G</t>
        </is>
      </c>
      <c r="D230" t="inlineStr">
        <is>
          <t>3J</t>
        </is>
      </c>
      <c r="E230" t="inlineStr">
        <is>
          <t>3C</t>
        </is>
      </c>
      <c r="F230" t="inlineStr">
        <is>
          <t>3A</t>
        </is>
      </c>
      <c r="G230" t="inlineStr">
        <is>
          <t>3F</t>
        </is>
      </c>
      <c r="H230" t="inlineStr">
        <is>
          <t>3E</t>
        </is>
      </c>
      <c r="I230" t="inlineStr">
        <is>
          <t>3I</t>
        </is>
      </c>
      <c r="J230" t="inlineStr">
        <is>
          <t>ACEFGHIJ</t>
        </is>
      </c>
    </row>
    <row r="231">
      <c r="A231" t="n">
        <v>230</v>
      </c>
      <c r="B231" t="inlineStr">
        <is>
          <t>3H</t>
        </is>
      </c>
      <c r="C231" t="inlineStr">
        <is>
          <t>3J</t>
        </is>
      </c>
      <c r="D231" t="inlineStr">
        <is>
          <t>3I</t>
        </is>
      </c>
      <c r="E231" t="inlineStr">
        <is>
          <t>3C</t>
        </is>
      </c>
      <c r="F231" t="inlineStr">
        <is>
          <t>3A</t>
        </is>
      </c>
      <c r="G231" t="inlineStr">
        <is>
          <t>3D</t>
        </is>
      </c>
      <c r="H231" t="inlineStr">
        <is>
          <t>3L</t>
        </is>
      </c>
      <c r="I231" t="inlineStr">
        <is>
          <t>3K</t>
        </is>
      </c>
      <c r="J231" t="inlineStr">
        <is>
          <t>ACDHIJKL</t>
        </is>
      </c>
    </row>
    <row r="232">
      <c r="A232" t="n">
        <v>231</v>
      </c>
      <c r="B232" t="inlineStr">
        <is>
          <t>3I</t>
        </is>
      </c>
      <c r="C232" t="inlineStr">
        <is>
          <t>3G</t>
        </is>
      </c>
      <c r="D232" t="inlineStr">
        <is>
          <t>3J</t>
        </is>
      </c>
      <c r="E232" t="inlineStr">
        <is>
          <t>3C</t>
        </is>
      </c>
      <c r="F232" t="inlineStr">
        <is>
          <t>3A</t>
        </is>
      </c>
      <c r="G232" t="inlineStr">
        <is>
          <t>3D</t>
        </is>
      </c>
      <c r="H232" t="inlineStr">
        <is>
          <t>3L</t>
        </is>
      </c>
      <c r="I232" t="inlineStr">
        <is>
          <t>3K</t>
        </is>
      </c>
      <c r="J232" t="inlineStr">
        <is>
          <t>ACDGIJKL</t>
        </is>
      </c>
    </row>
    <row r="233">
      <c r="A233" t="n">
        <v>232</v>
      </c>
      <c r="B233" t="inlineStr">
        <is>
          <t>3H</t>
        </is>
      </c>
      <c r="C233" t="inlineStr">
        <is>
          <t>3G</t>
        </is>
      </c>
      <c r="D233" t="inlineStr">
        <is>
          <t>3J</t>
        </is>
      </c>
      <c r="E233" t="inlineStr">
        <is>
          <t>3C</t>
        </is>
      </c>
      <c r="F233" t="inlineStr">
        <is>
          <t>3A</t>
        </is>
      </c>
      <c r="G233" t="inlineStr">
        <is>
          <t>3D</t>
        </is>
      </c>
      <c r="H233" t="inlineStr">
        <is>
          <t>3L</t>
        </is>
      </c>
      <c r="I233" t="inlineStr">
        <is>
          <t>3K</t>
        </is>
      </c>
      <c r="J233" t="inlineStr">
        <is>
          <t>ACDGHJKL</t>
        </is>
      </c>
    </row>
    <row r="234">
      <c r="A234" t="n">
        <v>233</v>
      </c>
      <c r="B234" t="inlineStr">
        <is>
          <t>3H</t>
        </is>
      </c>
      <c r="C234" t="inlineStr">
        <is>
          <t>3G</t>
        </is>
      </c>
      <c r="D234" t="inlineStr">
        <is>
          <t>3I</t>
        </is>
      </c>
      <c r="E234" t="inlineStr">
        <is>
          <t>3C</t>
        </is>
      </c>
      <c r="F234" t="inlineStr">
        <is>
          <t>3A</t>
        </is>
      </c>
      <c r="G234" t="inlineStr">
        <is>
          <t>3D</t>
        </is>
      </c>
      <c r="H234" t="inlineStr">
        <is>
          <t>3L</t>
        </is>
      </c>
      <c r="I234" t="inlineStr">
        <is>
          <t>3K</t>
        </is>
      </c>
      <c r="J234" t="inlineStr">
        <is>
          <t>ACDGHIKL</t>
        </is>
      </c>
    </row>
    <row r="235">
      <c r="A235" t="n">
        <v>234</v>
      </c>
      <c r="B235" t="inlineStr">
        <is>
          <t>3H</t>
        </is>
      </c>
      <c r="C235" t="inlineStr">
        <is>
          <t>3G</t>
        </is>
      </c>
      <c r="D235" t="inlineStr">
        <is>
          <t>3J</t>
        </is>
      </c>
      <c r="E235" t="inlineStr">
        <is>
          <t>3C</t>
        </is>
      </c>
      <c r="F235" t="inlineStr">
        <is>
          <t>3A</t>
        </is>
      </c>
      <c r="G235" t="inlineStr">
        <is>
          <t>3D</t>
        </is>
      </c>
      <c r="H235" t="inlineStr">
        <is>
          <t>3L</t>
        </is>
      </c>
      <c r="I235" t="inlineStr">
        <is>
          <t>3I</t>
        </is>
      </c>
      <c r="J235" t="inlineStr">
        <is>
          <t>ACDGHIJL</t>
        </is>
      </c>
    </row>
    <row r="236">
      <c r="A236" t="n">
        <v>235</v>
      </c>
      <c r="B236" t="inlineStr">
        <is>
          <t>3H</t>
        </is>
      </c>
      <c r="C236" t="inlineStr">
        <is>
          <t>3G</t>
        </is>
      </c>
      <c r="D236" t="inlineStr">
        <is>
          <t>3J</t>
        </is>
      </c>
      <c r="E236" t="inlineStr">
        <is>
          <t>3C</t>
        </is>
      </c>
      <c r="F236" t="inlineStr">
        <is>
          <t>3A</t>
        </is>
      </c>
      <c r="G236" t="inlineStr">
        <is>
          <t>3D</t>
        </is>
      </c>
      <c r="H236" t="inlineStr">
        <is>
          <t>3I</t>
        </is>
      </c>
      <c r="I236" t="inlineStr">
        <is>
          <t>3K</t>
        </is>
      </c>
      <c r="J236" t="inlineStr">
        <is>
          <t>ACDGHIJK</t>
        </is>
      </c>
    </row>
    <row r="237">
      <c r="A237" t="n">
        <v>236</v>
      </c>
      <c r="B237" t="inlineStr">
        <is>
          <t>3C</t>
        </is>
      </c>
      <c r="C237" t="inlineStr">
        <is>
          <t>3J</t>
        </is>
      </c>
      <c r="D237" t="inlineStr">
        <is>
          <t>3I</t>
        </is>
      </c>
      <c r="E237" t="inlineStr">
        <is>
          <t>3D</t>
        </is>
      </c>
      <c r="F237" t="inlineStr">
        <is>
          <t>3A</t>
        </is>
      </c>
      <c r="G237" t="inlineStr">
        <is>
          <t>3F</t>
        </is>
      </c>
      <c r="H237" t="inlineStr">
        <is>
          <t>3L</t>
        </is>
      </c>
      <c r="I237" t="inlineStr">
        <is>
          <t>3K</t>
        </is>
      </c>
      <c r="J237" t="inlineStr">
        <is>
          <t>ACDFIJKL</t>
        </is>
      </c>
    </row>
    <row r="238">
      <c r="A238" t="n">
        <v>237</v>
      </c>
      <c r="B238" t="inlineStr">
        <is>
          <t>3H</t>
        </is>
      </c>
      <c r="C238" t="inlineStr">
        <is>
          <t>3J</t>
        </is>
      </c>
      <c r="D238" t="inlineStr">
        <is>
          <t>3F</t>
        </is>
      </c>
      <c r="E238" t="inlineStr">
        <is>
          <t>3C</t>
        </is>
      </c>
      <c r="F238" t="inlineStr">
        <is>
          <t>3A</t>
        </is>
      </c>
      <c r="G238" t="inlineStr">
        <is>
          <t>3D</t>
        </is>
      </c>
      <c r="H238" t="inlineStr">
        <is>
          <t>3L</t>
        </is>
      </c>
      <c r="I238" t="inlineStr">
        <is>
          <t>3K</t>
        </is>
      </c>
      <c r="J238" t="inlineStr">
        <is>
          <t>ACDFHJKL</t>
        </is>
      </c>
    </row>
    <row r="239">
      <c r="A239" t="n">
        <v>238</v>
      </c>
      <c r="B239" t="inlineStr">
        <is>
          <t>3H</t>
        </is>
      </c>
      <c r="C239" t="inlineStr">
        <is>
          <t>3F</t>
        </is>
      </c>
      <c r="D239" t="inlineStr">
        <is>
          <t>3I</t>
        </is>
      </c>
      <c r="E239" t="inlineStr">
        <is>
          <t>3C</t>
        </is>
      </c>
      <c r="F239" t="inlineStr">
        <is>
          <t>3A</t>
        </is>
      </c>
      <c r="G239" t="inlineStr">
        <is>
          <t>3D</t>
        </is>
      </c>
      <c r="H239" t="inlineStr">
        <is>
          <t>3L</t>
        </is>
      </c>
      <c r="I239" t="inlineStr">
        <is>
          <t>3K</t>
        </is>
      </c>
      <c r="J239" t="inlineStr">
        <is>
          <t>ACDFHIKL</t>
        </is>
      </c>
    </row>
    <row r="240">
      <c r="A240" t="n">
        <v>239</v>
      </c>
      <c r="B240" t="inlineStr">
        <is>
          <t>3H</t>
        </is>
      </c>
      <c r="C240" t="inlineStr">
        <is>
          <t>3J</t>
        </is>
      </c>
      <c r="D240" t="inlineStr">
        <is>
          <t>3F</t>
        </is>
      </c>
      <c r="E240" t="inlineStr">
        <is>
          <t>3C</t>
        </is>
      </c>
      <c r="F240" t="inlineStr">
        <is>
          <t>3A</t>
        </is>
      </c>
      <c r="G240" t="inlineStr">
        <is>
          <t>3D</t>
        </is>
      </c>
      <c r="H240" t="inlineStr">
        <is>
          <t>3L</t>
        </is>
      </c>
      <c r="I240" t="inlineStr">
        <is>
          <t>3I</t>
        </is>
      </c>
      <c r="J240" t="inlineStr">
        <is>
          <t>ACDFHIJL</t>
        </is>
      </c>
    </row>
    <row r="241">
      <c r="A241" t="n">
        <v>240</v>
      </c>
      <c r="B241" t="inlineStr">
        <is>
          <t>3H</t>
        </is>
      </c>
      <c r="C241" t="inlineStr">
        <is>
          <t>3J</t>
        </is>
      </c>
      <c r="D241" t="inlineStr">
        <is>
          <t>3F</t>
        </is>
      </c>
      <c r="E241" t="inlineStr">
        <is>
          <t>3C</t>
        </is>
      </c>
      <c r="F241" t="inlineStr">
        <is>
          <t>3A</t>
        </is>
      </c>
      <c r="G241" t="inlineStr">
        <is>
          <t>3D</t>
        </is>
      </c>
      <c r="H241" t="inlineStr">
        <is>
          <t>3I</t>
        </is>
      </c>
      <c r="I241" t="inlineStr">
        <is>
          <t>3K</t>
        </is>
      </c>
      <c r="J241" t="inlineStr">
        <is>
          <t>ACDFHIJK</t>
        </is>
      </c>
    </row>
    <row r="242">
      <c r="A242" t="n">
        <v>241</v>
      </c>
      <c r="B242" t="inlineStr">
        <is>
          <t>3C</t>
        </is>
      </c>
      <c r="C242" t="inlineStr">
        <is>
          <t>3G</t>
        </is>
      </c>
      <c r="D242" t="inlineStr">
        <is>
          <t>3J</t>
        </is>
      </c>
      <c r="E242" t="inlineStr">
        <is>
          <t>3D</t>
        </is>
      </c>
      <c r="F242" t="inlineStr">
        <is>
          <t>3A</t>
        </is>
      </c>
      <c r="G242" t="inlineStr">
        <is>
          <t>3F</t>
        </is>
      </c>
      <c r="H242" t="inlineStr">
        <is>
          <t>3L</t>
        </is>
      </c>
      <c r="I242" t="inlineStr">
        <is>
          <t>3K</t>
        </is>
      </c>
      <c r="J242" t="inlineStr">
        <is>
          <t>ACDFGJKL</t>
        </is>
      </c>
    </row>
    <row r="243">
      <c r="A243" t="n">
        <v>242</v>
      </c>
      <c r="B243" t="inlineStr">
        <is>
          <t>3C</t>
        </is>
      </c>
      <c r="C243" t="inlineStr">
        <is>
          <t>3G</t>
        </is>
      </c>
      <c r="D243" t="inlineStr">
        <is>
          <t>3I</t>
        </is>
      </c>
      <c r="E243" t="inlineStr">
        <is>
          <t>3D</t>
        </is>
      </c>
      <c r="F243" t="inlineStr">
        <is>
          <t>3A</t>
        </is>
      </c>
      <c r="G243" t="inlineStr">
        <is>
          <t>3F</t>
        </is>
      </c>
      <c r="H243" t="inlineStr">
        <is>
          <t>3L</t>
        </is>
      </c>
      <c r="I243" t="inlineStr">
        <is>
          <t>3K</t>
        </is>
      </c>
      <c r="J243" t="inlineStr">
        <is>
          <t>ACDFGIKL</t>
        </is>
      </c>
    </row>
    <row r="244">
      <c r="A244" t="n">
        <v>243</v>
      </c>
      <c r="B244" t="inlineStr">
        <is>
          <t>3C</t>
        </is>
      </c>
      <c r="C244" t="inlineStr">
        <is>
          <t>3G</t>
        </is>
      </c>
      <c r="D244" t="inlineStr">
        <is>
          <t>3J</t>
        </is>
      </c>
      <c r="E244" t="inlineStr">
        <is>
          <t>3D</t>
        </is>
      </c>
      <c r="F244" t="inlineStr">
        <is>
          <t>3A</t>
        </is>
      </c>
      <c r="G244" t="inlineStr">
        <is>
          <t>3F</t>
        </is>
      </c>
      <c r="H244" t="inlineStr">
        <is>
          <t>3L</t>
        </is>
      </c>
      <c r="I244" t="inlineStr">
        <is>
          <t>3I</t>
        </is>
      </c>
      <c r="J244" t="inlineStr">
        <is>
          <t>ACDFGIJL</t>
        </is>
      </c>
    </row>
    <row r="245">
      <c r="A245" t="n">
        <v>244</v>
      </c>
      <c r="B245" t="inlineStr">
        <is>
          <t>3C</t>
        </is>
      </c>
      <c r="C245" t="inlineStr">
        <is>
          <t>3G</t>
        </is>
      </c>
      <c r="D245" t="inlineStr">
        <is>
          <t>3J</t>
        </is>
      </c>
      <c r="E245" t="inlineStr">
        <is>
          <t>3D</t>
        </is>
      </c>
      <c r="F245" t="inlineStr">
        <is>
          <t>3A</t>
        </is>
      </c>
      <c r="G245" t="inlineStr">
        <is>
          <t>3F</t>
        </is>
      </c>
      <c r="H245" t="inlineStr">
        <is>
          <t>3I</t>
        </is>
      </c>
      <c r="I245" t="inlineStr">
        <is>
          <t>3K</t>
        </is>
      </c>
      <c r="J245" t="inlineStr">
        <is>
          <t>ACDFGIJK</t>
        </is>
      </c>
    </row>
    <row r="246">
      <c r="A246" t="n">
        <v>245</v>
      </c>
      <c r="B246" t="inlineStr">
        <is>
          <t>3H</t>
        </is>
      </c>
      <c r="C246" t="inlineStr">
        <is>
          <t>3G</t>
        </is>
      </c>
      <c r="D246" t="inlineStr">
        <is>
          <t>3F</t>
        </is>
      </c>
      <c r="E246" t="inlineStr">
        <is>
          <t>3C</t>
        </is>
      </c>
      <c r="F246" t="inlineStr">
        <is>
          <t>3A</t>
        </is>
      </c>
      <c r="G246" t="inlineStr">
        <is>
          <t>3D</t>
        </is>
      </c>
      <c r="H246" t="inlineStr">
        <is>
          <t>3L</t>
        </is>
      </c>
      <c r="I246" t="inlineStr">
        <is>
          <t>3K</t>
        </is>
      </c>
      <c r="J246" t="inlineStr">
        <is>
          <t>ACDFGHKL</t>
        </is>
      </c>
    </row>
    <row r="247">
      <c r="A247" t="n">
        <v>246</v>
      </c>
      <c r="B247" t="inlineStr">
        <is>
          <t>3C</t>
        </is>
      </c>
      <c r="C247" t="inlineStr">
        <is>
          <t>3G</t>
        </is>
      </c>
      <c r="D247" t="inlineStr">
        <is>
          <t>3J</t>
        </is>
      </c>
      <c r="E247" t="inlineStr">
        <is>
          <t>3D</t>
        </is>
      </c>
      <c r="F247" t="inlineStr">
        <is>
          <t>3A</t>
        </is>
      </c>
      <c r="G247" t="inlineStr">
        <is>
          <t>3F</t>
        </is>
      </c>
      <c r="H247" t="inlineStr">
        <is>
          <t>3L</t>
        </is>
      </c>
      <c r="I247" t="inlineStr">
        <is>
          <t>3H</t>
        </is>
      </c>
      <c r="J247" t="inlineStr">
        <is>
          <t>ACDFGHJL</t>
        </is>
      </c>
    </row>
    <row r="248">
      <c r="A248" t="n">
        <v>247</v>
      </c>
      <c r="B248" t="inlineStr">
        <is>
          <t>3H</t>
        </is>
      </c>
      <c r="C248" t="inlineStr">
        <is>
          <t>3G</t>
        </is>
      </c>
      <c r="D248" t="inlineStr">
        <is>
          <t>3J</t>
        </is>
      </c>
      <c r="E248" t="inlineStr">
        <is>
          <t>3C</t>
        </is>
      </c>
      <c r="F248" t="inlineStr">
        <is>
          <t>3A</t>
        </is>
      </c>
      <c r="G248" t="inlineStr">
        <is>
          <t>3F</t>
        </is>
      </c>
      <c r="H248" t="inlineStr">
        <is>
          <t>3D</t>
        </is>
      </c>
      <c r="I248" t="inlineStr">
        <is>
          <t>3K</t>
        </is>
      </c>
      <c r="J248" t="inlineStr">
        <is>
          <t>ACDFGHJK</t>
        </is>
      </c>
    </row>
    <row r="249">
      <c r="A249" t="n">
        <v>248</v>
      </c>
      <c r="B249" t="inlineStr">
        <is>
          <t>3H</t>
        </is>
      </c>
      <c r="C249" t="inlineStr">
        <is>
          <t>3G</t>
        </is>
      </c>
      <c r="D249" t="inlineStr">
        <is>
          <t>3F</t>
        </is>
      </c>
      <c r="E249" t="inlineStr">
        <is>
          <t>3C</t>
        </is>
      </c>
      <c r="F249" t="inlineStr">
        <is>
          <t>3A</t>
        </is>
      </c>
      <c r="G249" t="inlineStr">
        <is>
          <t>3D</t>
        </is>
      </c>
      <c r="H249" t="inlineStr">
        <is>
          <t>3L</t>
        </is>
      </c>
      <c r="I249" t="inlineStr">
        <is>
          <t>3I</t>
        </is>
      </c>
      <c r="J249" t="inlineStr">
        <is>
          <t>ACDFGHIL</t>
        </is>
      </c>
    </row>
    <row r="250">
      <c r="A250" t="n">
        <v>249</v>
      </c>
      <c r="B250" t="inlineStr">
        <is>
          <t>3H</t>
        </is>
      </c>
      <c r="C250" t="inlineStr">
        <is>
          <t>3G</t>
        </is>
      </c>
      <c r="D250" t="inlineStr">
        <is>
          <t>3F</t>
        </is>
      </c>
      <c r="E250" t="inlineStr">
        <is>
          <t>3C</t>
        </is>
      </c>
      <c r="F250" t="inlineStr">
        <is>
          <t>3A</t>
        </is>
      </c>
      <c r="G250" t="inlineStr">
        <is>
          <t>3D</t>
        </is>
      </c>
      <c r="H250" t="inlineStr">
        <is>
          <t>3I</t>
        </is>
      </c>
      <c r="I250" t="inlineStr">
        <is>
          <t>3K</t>
        </is>
      </c>
      <c r="J250" t="inlineStr">
        <is>
          <t>ACDFGHIK</t>
        </is>
      </c>
    </row>
    <row r="251">
      <c r="A251" t="n">
        <v>250</v>
      </c>
      <c r="B251" t="inlineStr">
        <is>
          <t>3H</t>
        </is>
      </c>
      <c r="C251" t="inlineStr">
        <is>
          <t>3G</t>
        </is>
      </c>
      <c r="D251" t="inlineStr">
        <is>
          <t>3J</t>
        </is>
      </c>
      <c r="E251" t="inlineStr">
        <is>
          <t>3C</t>
        </is>
      </c>
      <c r="F251" t="inlineStr">
        <is>
          <t>3A</t>
        </is>
      </c>
      <c r="G251" t="inlineStr">
        <is>
          <t>3F</t>
        </is>
      </c>
      <c r="H251" t="inlineStr">
        <is>
          <t>3D</t>
        </is>
      </c>
      <c r="I251" t="inlineStr">
        <is>
          <t>3I</t>
        </is>
      </c>
      <c r="J251" t="inlineStr">
        <is>
          <t>ACDFGHIJ</t>
        </is>
      </c>
    </row>
    <row r="252">
      <c r="A252" t="n">
        <v>251</v>
      </c>
      <c r="B252" t="inlineStr">
        <is>
          <t>3E</t>
        </is>
      </c>
      <c r="C252" t="inlineStr">
        <is>
          <t>3J</t>
        </is>
      </c>
      <c r="D252" t="inlineStr">
        <is>
          <t>3I</t>
        </is>
      </c>
      <c r="E252" t="inlineStr">
        <is>
          <t>3C</t>
        </is>
      </c>
      <c r="F252" t="inlineStr">
        <is>
          <t>3A</t>
        </is>
      </c>
      <c r="G252" t="inlineStr">
        <is>
          <t>3D</t>
        </is>
      </c>
      <c r="H252" t="inlineStr">
        <is>
          <t>3L</t>
        </is>
      </c>
      <c r="I252" t="inlineStr">
        <is>
          <t>3K</t>
        </is>
      </c>
      <c r="J252" t="inlineStr">
        <is>
          <t>ACDEIJKL</t>
        </is>
      </c>
    </row>
    <row r="253">
      <c r="A253" t="n">
        <v>252</v>
      </c>
      <c r="B253" t="inlineStr">
        <is>
          <t>3H</t>
        </is>
      </c>
      <c r="C253" t="inlineStr">
        <is>
          <t>3J</t>
        </is>
      </c>
      <c r="D253" t="inlineStr">
        <is>
          <t>3E</t>
        </is>
      </c>
      <c r="E253" t="inlineStr">
        <is>
          <t>3C</t>
        </is>
      </c>
      <c r="F253" t="inlineStr">
        <is>
          <t>3A</t>
        </is>
      </c>
      <c r="G253" t="inlineStr">
        <is>
          <t>3D</t>
        </is>
      </c>
      <c r="H253" t="inlineStr">
        <is>
          <t>3L</t>
        </is>
      </c>
      <c r="I253" t="inlineStr">
        <is>
          <t>3K</t>
        </is>
      </c>
      <c r="J253" t="inlineStr">
        <is>
          <t>ACDEHJKL</t>
        </is>
      </c>
    </row>
    <row r="254">
      <c r="A254" t="n">
        <v>253</v>
      </c>
      <c r="B254" t="inlineStr">
        <is>
          <t>3H</t>
        </is>
      </c>
      <c r="C254" t="inlineStr">
        <is>
          <t>3E</t>
        </is>
      </c>
      <c r="D254" t="inlineStr">
        <is>
          <t>3I</t>
        </is>
      </c>
      <c r="E254" t="inlineStr">
        <is>
          <t>3C</t>
        </is>
      </c>
      <c r="F254" t="inlineStr">
        <is>
          <t>3A</t>
        </is>
      </c>
      <c r="G254" t="inlineStr">
        <is>
          <t>3D</t>
        </is>
      </c>
      <c r="H254" t="inlineStr">
        <is>
          <t>3L</t>
        </is>
      </c>
      <c r="I254" t="inlineStr">
        <is>
          <t>3K</t>
        </is>
      </c>
      <c r="J254" t="inlineStr">
        <is>
          <t>ACDEHIKL</t>
        </is>
      </c>
    </row>
    <row r="255">
      <c r="A255" t="n">
        <v>254</v>
      </c>
      <c r="B255" t="inlineStr">
        <is>
          <t>3H</t>
        </is>
      </c>
      <c r="C255" t="inlineStr">
        <is>
          <t>3J</t>
        </is>
      </c>
      <c r="D255" t="inlineStr">
        <is>
          <t>3E</t>
        </is>
      </c>
      <c r="E255" t="inlineStr">
        <is>
          <t>3C</t>
        </is>
      </c>
      <c r="F255" t="inlineStr">
        <is>
          <t>3A</t>
        </is>
      </c>
      <c r="G255" t="inlineStr">
        <is>
          <t>3D</t>
        </is>
      </c>
      <c r="H255" t="inlineStr">
        <is>
          <t>3L</t>
        </is>
      </c>
      <c r="I255" t="inlineStr">
        <is>
          <t>3I</t>
        </is>
      </c>
      <c r="J255" t="inlineStr">
        <is>
          <t>ACDEHIJL</t>
        </is>
      </c>
    </row>
    <row r="256">
      <c r="A256" t="n">
        <v>255</v>
      </c>
      <c r="B256" t="inlineStr">
        <is>
          <t>3H</t>
        </is>
      </c>
      <c r="C256" t="inlineStr">
        <is>
          <t>3J</t>
        </is>
      </c>
      <c r="D256" t="inlineStr">
        <is>
          <t>3E</t>
        </is>
      </c>
      <c r="E256" t="inlineStr">
        <is>
          <t>3C</t>
        </is>
      </c>
      <c r="F256" t="inlineStr">
        <is>
          <t>3A</t>
        </is>
      </c>
      <c r="G256" t="inlineStr">
        <is>
          <t>3D</t>
        </is>
      </c>
      <c r="H256" t="inlineStr">
        <is>
          <t>3I</t>
        </is>
      </c>
      <c r="I256" t="inlineStr">
        <is>
          <t>3K</t>
        </is>
      </c>
      <c r="J256" t="inlineStr">
        <is>
          <t>ACDEHIJK</t>
        </is>
      </c>
    </row>
    <row r="257">
      <c r="A257" t="n">
        <v>256</v>
      </c>
      <c r="B257" t="inlineStr">
        <is>
          <t>3E</t>
        </is>
      </c>
      <c r="C257" t="inlineStr">
        <is>
          <t>3G</t>
        </is>
      </c>
      <c r="D257" t="inlineStr">
        <is>
          <t>3J</t>
        </is>
      </c>
      <c r="E257" t="inlineStr">
        <is>
          <t>3C</t>
        </is>
      </c>
      <c r="F257" t="inlineStr">
        <is>
          <t>3A</t>
        </is>
      </c>
      <c r="G257" t="inlineStr">
        <is>
          <t>3D</t>
        </is>
      </c>
      <c r="H257" t="inlineStr">
        <is>
          <t>3L</t>
        </is>
      </c>
      <c r="I257" t="inlineStr">
        <is>
          <t>3K</t>
        </is>
      </c>
      <c r="J257" t="inlineStr">
        <is>
          <t>ACDEGJKL</t>
        </is>
      </c>
    </row>
    <row r="258">
      <c r="A258" t="n">
        <v>257</v>
      </c>
      <c r="B258" t="inlineStr">
        <is>
          <t>3E</t>
        </is>
      </c>
      <c r="C258" t="inlineStr">
        <is>
          <t>3G</t>
        </is>
      </c>
      <c r="D258" t="inlineStr">
        <is>
          <t>3I</t>
        </is>
      </c>
      <c r="E258" t="inlineStr">
        <is>
          <t>3C</t>
        </is>
      </c>
      <c r="F258" t="inlineStr">
        <is>
          <t>3A</t>
        </is>
      </c>
      <c r="G258" t="inlineStr">
        <is>
          <t>3D</t>
        </is>
      </c>
      <c r="H258" t="inlineStr">
        <is>
          <t>3L</t>
        </is>
      </c>
      <c r="I258" t="inlineStr">
        <is>
          <t>3K</t>
        </is>
      </c>
      <c r="J258" t="inlineStr">
        <is>
          <t>ACDEGIKL</t>
        </is>
      </c>
    </row>
    <row r="259">
      <c r="A259" t="n">
        <v>258</v>
      </c>
      <c r="B259" t="inlineStr">
        <is>
          <t>3E</t>
        </is>
      </c>
      <c r="C259" t="inlineStr">
        <is>
          <t>3G</t>
        </is>
      </c>
      <c r="D259" t="inlineStr">
        <is>
          <t>3J</t>
        </is>
      </c>
      <c r="E259" t="inlineStr">
        <is>
          <t>3C</t>
        </is>
      </c>
      <c r="F259" t="inlineStr">
        <is>
          <t>3A</t>
        </is>
      </c>
      <c r="G259" t="inlineStr">
        <is>
          <t>3D</t>
        </is>
      </c>
      <c r="H259" t="inlineStr">
        <is>
          <t>3L</t>
        </is>
      </c>
      <c r="I259" t="inlineStr">
        <is>
          <t>3I</t>
        </is>
      </c>
      <c r="J259" t="inlineStr">
        <is>
          <t>ACDEGIJL</t>
        </is>
      </c>
    </row>
    <row r="260">
      <c r="A260" t="n">
        <v>259</v>
      </c>
      <c r="B260" t="inlineStr">
        <is>
          <t>3E</t>
        </is>
      </c>
      <c r="C260" t="inlineStr">
        <is>
          <t>3G</t>
        </is>
      </c>
      <c r="D260" t="inlineStr">
        <is>
          <t>3J</t>
        </is>
      </c>
      <c r="E260" t="inlineStr">
        <is>
          <t>3C</t>
        </is>
      </c>
      <c r="F260" t="inlineStr">
        <is>
          <t>3A</t>
        </is>
      </c>
      <c r="G260" t="inlineStr">
        <is>
          <t>3D</t>
        </is>
      </c>
      <c r="H260" t="inlineStr">
        <is>
          <t>3I</t>
        </is>
      </c>
      <c r="I260" t="inlineStr">
        <is>
          <t>3K</t>
        </is>
      </c>
      <c r="J260" t="inlineStr">
        <is>
          <t>ACDEGIJK</t>
        </is>
      </c>
    </row>
    <row r="261">
      <c r="A261" t="n">
        <v>260</v>
      </c>
      <c r="B261" t="inlineStr">
        <is>
          <t>3H</t>
        </is>
      </c>
      <c r="C261" t="inlineStr">
        <is>
          <t>3G</t>
        </is>
      </c>
      <c r="D261" t="inlineStr">
        <is>
          <t>3E</t>
        </is>
      </c>
      <c r="E261" t="inlineStr">
        <is>
          <t>3C</t>
        </is>
      </c>
      <c r="F261" t="inlineStr">
        <is>
          <t>3A</t>
        </is>
      </c>
      <c r="G261" t="inlineStr">
        <is>
          <t>3D</t>
        </is>
      </c>
      <c r="H261" t="inlineStr">
        <is>
          <t>3L</t>
        </is>
      </c>
      <c r="I261" t="inlineStr">
        <is>
          <t>3K</t>
        </is>
      </c>
      <c r="J261" t="inlineStr">
        <is>
          <t>ACDEGHKL</t>
        </is>
      </c>
    </row>
    <row r="262">
      <c r="A262" t="n">
        <v>261</v>
      </c>
      <c r="B262" t="inlineStr">
        <is>
          <t>3H</t>
        </is>
      </c>
      <c r="C262" t="inlineStr">
        <is>
          <t>3G</t>
        </is>
      </c>
      <c r="D262" t="inlineStr">
        <is>
          <t>3J</t>
        </is>
      </c>
      <c r="E262" t="inlineStr">
        <is>
          <t>3C</t>
        </is>
      </c>
      <c r="F262" t="inlineStr">
        <is>
          <t>3A</t>
        </is>
      </c>
      <c r="G262" t="inlineStr">
        <is>
          <t>3D</t>
        </is>
      </c>
      <c r="H262" t="inlineStr">
        <is>
          <t>3L</t>
        </is>
      </c>
      <c r="I262" t="inlineStr">
        <is>
          <t>3E</t>
        </is>
      </c>
      <c r="J262" t="inlineStr">
        <is>
          <t>ACDEGHJL</t>
        </is>
      </c>
    </row>
    <row r="263">
      <c r="A263" t="n">
        <v>262</v>
      </c>
      <c r="B263" t="inlineStr">
        <is>
          <t>3H</t>
        </is>
      </c>
      <c r="C263" t="inlineStr">
        <is>
          <t>3G</t>
        </is>
      </c>
      <c r="D263" t="inlineStr">
        <is>
          <t>3J</t>
        </is>
      </c>
      <c r="E263" t="inlineStr">
        <is>
          <t>3C</t>
        </is>
      </c>
      <c r="F263" t="inlineStr">
        <is>
          <t>3A</t>
        </is>
      </c>
      <c r="G263" t="inlineStr">
        <is>
          <t>3D</t>
        </is>
      </c>
      <c r="H263" t="inlineStr">
        <is>
          <t>3E</t>
        </is>
      </c>
      <c r="I263" t="inlineStr">
        <is>
          <t>3K</t>
        </is>
      </c>
      <c r="J263" t="inlineStr">
        <is>
          <t>ACDEGHJK</t>
        </is>
      </c>
    </row>
    <row r="264">
      <c r="A264" t="n">
        <v>263</v>
      </c>
      <c r="B264" t="inlineStr">
        <is>
          <t>3H</t>
        </is>
      </c>
      <c r="C264" t="inlineStr">
        <is>
          <t>3G</t>
        </is>
      </c>
      <c r="D264" t="inlineStr">
        <is>
          <t>3E</t>
        </is>
      </c>
      <c r="E264" t="inlineStr">
        <is>
          <t>3C</t>
        </is>
      </c>
      <c r="F264" t="inlineStr">
        <is>
          <t>3A</t>
        </is>
      </c>
      <c r="G264" t="inlineStr">
        <is>
          <t>3D</t>
        </is>
      </c>
      <c r="H264" t="inlineStr">
        <is>
          <t>3L</t>
        </is>
      </c>
      <c r="I264" t="inlineStr">
        <is>
          <t>3I</t>
        </is>
      </c>
      <c r="J264" t="inlineStr">
        <is>
          <t>ACDEGHIL</t>
        </is>
      </c>
    </row>
    <row r="265">
      <c r="A265" t="n">
        <v>264</v>
      </c>
      <c r="B265" t="inlineStr">
        <is>
          <t>3H</t>
        </is>
      </c>
      <c r="C265" t="inlineStr">
        <is>
          <t>3G</t>
        </is>
      </c>
      <c r="D265" t="inlineStr">
        <is>
          <t>3E</t>
        </is>
      </c>
      <c r="E265" t="inlineStr">
        <is>
          <t>3C</t>
        </is>
      </c>
      <c r="F265" t="inlineStr">
        <is>
          <t>3A</t>
        </is>
      </c>
      <c r="G265" t="inlineStr">
        <is>
          <t>3D</t>
        </is>
      </c>
      <c r="H265" t="inlineStr">
        <is>
          <t>3I</t>
        </is>
      </c>
      <c r="I265" t="inlineStr">
        <is>
          <t>3K</t>
        </is>
      </c>
      <c r="J265" t="inlineStr">
        <is>
          <t>ACDEGHIK</t>
        </is>
      </c>
    </row>
    <row r="266">
      <c r="A266" t="n">
        <v>265</v>
      </c>
      <c r="B266" t="inlineStr">
        <is>
          <t>3H</t>
        </is>
      </c>
      <c r="C266" t="inlineStr">
        <is>
          <t>3G</t>
        </is>
      </c>
      <c r="D266" t="inlineStr">
        <is>
          <t>3J</t>
        </is>
      </c>
      <c r="E266" t="inlineStr">
        <is>
          <t>3C</t>
        </is>
      </c>
      <c r="F266" t="inlineStr">
        <is>
          <t>3A</t>
        </is>
      </c>
      <c r="G266" t="inlineStr">
        <is>
          <t>3D</t>
        </is>
      </c>
      <c r="H266" t="inlineStr">
        <is>
          <t>3E</t>
        </is>
      </c>
      <c r="I266" t="inlineStr">
        <is>
          <t>3I</t>
        </is>
      </c>
      <c r="J266" t="inlineStr">
        <is>
          <t>ACDEGHIJ</t>
        </is>
      </c>
    </row>
    <row r="267">
      <c r="A267" t="n">
        <v>266</v>
      </c>
      <c r="B267" t="inlineStr">
        <is>
          <t>3C</t>
        </is>
      </c>
      <c r="C267" t="inlineStr">
        <is>
          <t>3J</t>
        </is>
      </c>
      <c r="D267" t="inlineStr">
        <is>
          <t>3E</t>
        </is>
      </c>
      <c r="E267" t="inlineStr">
        <is>
          <t>3D</t>
        </is>
      </c>
      <c r="F267" t="inlineStr">
        <is>
          <t>3A</t>
        </is>
      </c>
      <c r="G267" t="inlineStr">
        <is>
          <t>3F</t>
        </is>
      </c>
      <c r="H267" t="inlineStr">
        <is>
          <t>3L</t>
        </is>
      </c>
      <c r="I267" t="inlineStr">
        <is>
          <t>3K</t>
        </is>
      </c>
      <c r="J267" t="inlineStr">
        <is>
          <t>ACDEFJKL</t>
        </is>
      </c>
    </row>
    <row r="268">
      <c r="A268" t="n">
        <v>267</v>
      </c>
      <c r="B268" t="inlineStr">
        <is>
          <t>3C</t>
        </is>
      </c>
      <c r="C268" t="inlineStr">
        <is>
          <t>3E</t>
        </is>
      </c>
      <c r="D268" t="inlineStr">
        <is>
          <t>3I</t>
        </is>
      </c>
      <c r="E268" t="inlineStr">
        <is>
          <t>3D</t>
        </is>
      </c>
      <c r="F268" t="inlineStr">
        <is>
          <t>3A</t>
        </is>
      </c>
      <c r="G268" t="inlineStr">
        <is>
          <t>3F</t>
        </is>
      </c>
      <c r="H268" t="inlineStr">
        <is>
          <t>3L</t>
        </is>
      </c>
      <c r="I268" t="inlineStr">
        <is>
          <t>3K</t>
        </is>
      </c>
      <c r="J268" t="inlineStr">
        <is>
          <t>ACDEFIKL</t>
        </is>
      </c>
    </row>
    <row r="269">
      <c r="A269" t="n">
        <v>268</v>
      </c>
      <c r="B269" t="inlineStr">
        <is>
          <t>3C</t>
        </is>
      </c>
      <c r="C269" t="inlineStr">
        <is>
          <t>3J</t>
        </is>
      </c>
      <c r="D269" t="inlineStr">
        <is>
          <t>3E</t>
        </is>
      </c>
      <c r="E269" t="inlineStr">
        <is>
          <t>3D</t>
        </is>
      </c>
      <c r="F269" t="inlineStr">
        <is>
          <t>3A</t>
        </is>
      </c>
      <c r="G269" t="inlineStr">
        <is>
          <t>3F</t>
        </is>
      </c>
      <c r="H269" t="inlineStr">
        <is>
          <t>3L</t>
        </is>
      </c>
      <c r="I269" t="inlineStr">
        <is>
          <t>3I</t>
        </is>
      </c>
      <c r="J269" t="inlineStr">
        <is>
          <t>ACDEFIJL</t>
        </is>
      </c>
    </row>
    <row r="270">
      <c r="A270" t="n">
        <v>269</v>
      </c>
      <c r="B270" t="inlineStr">
        <is>
          <t>3C</t>
        </is>
      </c>
      <c r="C270" t="inlineStr">
        <is>
          <t>3J</t>
        </is>
      </c>
      <c r="D270" t="inlineStr">
        <is>
          <t>3E</t>
        </is>
      </c>
      <c r="E270" t="inlineStr">
        <is>
          <t>3D</t>
        </is>
      </c>
      <c r="F270" t="inlineStr">
        <is>
          <t>3A</t>
        </is>
      </c>
      <c r="G270" t="inlineStr">
        <is>
          <t>3F</t>
        </is>
      </c>
      <c r="H270" t="inlineStr">
        <is>
          <t>3I</t>
        </is>
      </c>
      <c r="I270" t="inlineStr">
        <is>
          <t>3K</t>
        </is>
      </c>
      <c r="J270" t="inlineStr">
        <is>
          <t>ACDEFIJK</t>
        </is>
      </c>
    </row>
    <row r="271">
      <c r="A271" t="n">
        <v>270</v>
      </c>
      <c r="B271" t="inlineStr">
        <is>
          <t>3H</t>
        </is>
      </c>
      <c r="C271" t="inlineStr">
        <is>
          <t>3E</t>
        </is>
      </c>
      <c r="D271" t="inlineStr">
        <is>
          <t>3F</t>
        </is>
      </c>
      <c r="E271" t="inlineStr">
        <is>
          <t>3C</t>
        </is>
      </c>
      <c r="F271" t="inlineStr">
        <is>
          <t>3A</t>
        </is>
      </c>
      <c r="G271" t="inlineStr">
        <is>
          <t>3D</t>
        </is>
      </c>
      <c r="H271" t="inlineStr">
        <is>
          <t>3L</t>
        </is>
      </c>
      <c r="I271" t="inlineStr">
        <is>
          <t>3K</t>
        </is>
      </c>
      <c r="J271" t="inlineStr">
        <is>
          <t>ACDEFHKL</t>
        </is>
      </c>
    </row>
    <row r="272">
      <c r="A272" t="n">
        <v>271</v>
      </c>
      <c r="B272" t="inlineStr">
        <is>
          <t>3H</t>
        </is>
      </c>
      <c r="C272" t="inlineStr">
        <is>
          <t>3J</t>
        </is>
      </c>
      <c r="D272" t="inlineStr">
        <is>
          <t>3F</t>
        </is>
      </c>
      <c r="E272" t="inlineStr">
        <is>
          <t>3C</t>
        </is>
      </c>
      <c r="F272" t="inlineStr">
        <is>
          <t>3A</t>
        </is>
      </c>
      <c r="G272" t="inlineStr">
        <is>
          <t>3D</t>
        </is>
      </c>
      <c r="H272" t="inlineStr">
        <is>
          <t>3L</t>
        </is>
      </c>
      <c r="I272" t="inlineStr">
        <is>
          <t>3E</t>
        </is>
      </c>
      <c r="J272" t="inlineStr">
        <is>
          <t>ACDEFHJL</t>
        </is>
      </c>
    </row>
    <row r="273">
      <c r="A273" t="n">
        <v>272</v>
      </c>
      <c r="B273" t="inlineStr">
        <is>
          <t>3H</t>
        </is>
      </c>
      <c r="C273" t="inlineStr">
        <is>
          <t>3J</t>
        </is>
      </c>
      <c r="D273" t="inlineStr">
        <is>
          <t>3E</t>
        </is>
      </c>
      <c r="E273" t="inlineStr">
        <is>
          <t>3C</t>
        </is>
      </c>
      <c r="F273" t="inlineStr">
        <is>
          <t>3A</t>
        </is>
      </c>
      <c r="G273" t="inlineStr">
        <is>
          <t>3F</t>
        </is>
      </c>
      <c r="H273" t="inlineStr">
        <is>
          <t>3D</t>
        </is>
      </c>
      <c r="I273" t="inlineStr">
        <is>
          <t>3K</t>
        </is>
      </c>
      <c r="J273" t="inlineStr">
        <is>
          <t>ACDEFHJK</t>
        </is>
      </c>
    </row>
    <row r="274">
      <c r="A274" t="n">
        <v>273</v>
      </c>
      <c r="B274" t="inlineStr">
        <is>
          <t>3H</t>
        </is>
      </c>
      <c r="C274" t="inlineStr">
        <is>
          <t>3E</t>
        </is>
      </c>
      <c r="D274" t="inlineStr">
        <is>
          <t>3F</t>
        </is>
      </c>
      <c r="E274" t="inlineStr">
        <is>
          <t>3C</t>
        </is>
      </c>
      <c r="F274" t="inlineStr">
        <is>
          <t>3A</t>
        </is>
      </c>
      <c r="G274" t="inlineStr">
        <is>
          <t>3D</t>
        </is>
      </c>
      <c r="H274" t="inlineStr">
        <is>
          <t>3L</t>
        </is>
      </c>
      <c r="I274" t="inlineStr">
        <is>
          <t>3I</t>
        </is>
      </c>
      <c r="J274" t="inlineStr">
        <is>
          <t>ACDEFHIL</t>
        </is>
      </c>
    </row>
    <row r="275">
      <c r="A275" t="n">
        <v>274</v>
      </c>
      <c r="B275" t="inlineStr">
        <is>
          <t>3H</t>
        </is>
      </c>
      <c r="C275" t="inlineStr">
        <is>
          <t>3E</t>
        </is>
      </c>
      <c r="D275" t="inlineStr">
        <is>
          <t>3F</t>
        </is>
      </c>
      <c r="E275" t="inlineStr">
        <is>
          <t>3C</t>
        </is>
      </c>
      <c r="F275" t="inlineStr">
        <is>
          <t>3A</t>
        </is>
      </c>
      <c r="G275" t="inlineStr">
        <is>
          <t>3D</t>
        </is>
      </c>
      <c r="H275" t="inlineStr">
        <is>
          <t>3I</t>
        </is>
      </c>
      <c r="I275" t="inlineStr">
        <is>
          <t>3K</t>
        </is>
      </c>
      <c r="J275" t="inlineStr">
        <is>
          <t>ACDEFHIK</t>
        </is>
      </c>
    </row>
    <row r="276">
      <c r="A276" t="n">
        <v>275</v>
      </c>
      <c r="B276" t="inlineStr">
        <is>
          <t>3H</t>
        </is>
      </c>
      <c r="C276" t="inlineStr">
        <is>
          <t>3J</t>
        </is>
      </c>
      <c r="D276" t="inlineStr">
        <is>
          <t>3E</t>
        </is>
      </c>
      <c r="E276" t="inlineStr">
        <is>
          <t>3C</t>
        </is>
      </c>
      <c r="F276" t="inlineStr">
        <is>
          <t>3A</t>
        </is>
      </c>
      <c r="G276" t="inlineStr">
        <is>
          <t>3F</t>
        </is>
      </c>
      <c r="H276" t="inlineStr">
        <is>
          <t>3D</t>
        </is>
      </c>
      <c r="I276" t="inlineStr">
        <is>
          <t>3I</t>
        </is>
      </c>
      <c r="J276" t="inlineStr">
        <is>
          <t>ACDEFHIJ</t>
        </is>
      </c>
    </row>
    <row r="277">
      <c r="A277" t="n">
        <v>276</v>
      </c>
      <c r="B277" t="inlineStr">
        <is>
          <t>3C</t>
        </is>
      </c>
      <c r="C277" t="inlineStr">
        <is>
          <t>3G</t>
        </is>
      </c>
      <c r="D277" t="inlineStr">
        <is>
          <t>3E</t>
        </is>
      </c>
      <c r="E277" t="inlineStr">
        <is>
          <t>3D</t>
        </is>
      </c>
      <c r="F277" t="inlineStr">
        <is>
          <t>3A</t>
        </is>
      </c>
      <c r="G277" t="inlineStr">
        <is>
          <t>3F</t>
        </is>
      </c>
      <c r="H277" t="inlineStr">
        <is>
          <t>3L</t>
        </is>
      </c>
      <c r="I277" t="inlineStr">
        <is>
          <t>3K</t>
        </is>
      </c>
      <c r="J277" t="inlineStr">
        <is>
          <t>ACDEFGKL</t>
        </is>
      </c>
    </row>
    <row r="278">
      <c r="A278" t="n">
        <v>277</v>
      </c>
      <c r="B278" t="inlineStr">
        <is>
          <t>3C</t>
        </is>
      </c>
      <c r="C278" t="inlineStr">
        <is>
          <t>3G</t>
        </is>
      </c>
      <c r="D278" t="inlineStr">
        <is>
          <t>3J</t>
        </is>
      </c>
      <c r="E278" t="inlineStr">
        <is>
          <t>3D</t>
        </is>
      </c>
      <c r="F278" t="inlineStr">
        <is>
          <t>3A</t>
        </is>
      </c>
      <c r="G278" t="inlineStr">
        <is>
          <t>3F</t>
        </is>
      </c>
      <c r="H278" t="inlineStr">
        <is>
          <t>3L</t>
        </is>
      </c>
      <c r="I278" t="inlineStr">
        <is>
          <t>3E</t>
        </is>
      </c>
      <c r="J278" t="inlineStr">
        <is>
          <t>ACDEFGJL</t>
        </is>
      </c>
    </row>
    <row r="279">
      <c r="A279" t="n">
        <v>278</v>
      </c>
      <c r="B279" t="inlineStr">
        <is>
          <t>3C</t>
        </is>
      </c>
      <c r="C279" t="inlineStr">
        <is>
          <t>3G</t>
        </is>
      </c>
      <c r="D279" t="inlineStr">
        <is>
          <t>3J</t>
        </is>
      </c>
      <c r="E279" t="inlineStr">
        <is>
          <t>3D</t>
        </is>
      </c>
      <c r="F279" t="inlineStr">
        <is>
          <t>3A</t>
        </is>
      </c>
      <c r="G279" t="inlineStr">
        <is>
          <t>3F</t>
        </is>
      </c>
      <c r="H279" t="inlineStr">
        <is>
          <t>3E</t>
        </is>
      </c>
      <c r="I279" t="inlineStr">
        <is>
          <t>3K</t>
        </is>
      </c>
      <c r="J279" t="inlineStr">
        <is>
          <t>ACDEFGJK</t>
        </is>
      </c>
    </row>
    <row r="280">
      <c r="A280" t="n">
        <v>279</v>
      </c>
      <c r="B280" t="inlineStr">
        <is>
          <t>3C</t>
        </is>
      </c>
      <c r="C280" t="inlineStr">
        <is>
          <t>3G</t>
        </is>
      </c>
      <c r="D280" t="inlineStr">
        <is>
          <t>3E</t>
        </is>
      </c>
      <c r="E280" t="inlineStr">
        <is>
          <t>3D</t>
        </is>
      </c>
      <c r="F280" t="inlineStr">
        <is>
          <t>3A</t>
        </is>
      </c>
      <c r="G280" t="inlineStr">
        <is>
          <t>3F</t>
        </is>
      </c>
      <c r="H280" t="inlineStr">
        <is>
          <t>3L</t>
        </is>
      </c>
      <c r="I280" t="inlineStr">
        <is>
          <t>3I</t>
        </is>
      </c>
      <c r="J280" t="inlineStr">
        <is>
          <t>ACDEFGIL</t>
        </is>
      </c>
    </row>
    <row r="281">
      <c r="A281" t="n">
        <v>280</v>
      </c>
      <c r="B281" t="inlineStr">
        <is>
          <t>3C</t>
        </is>
      </c>
      <c r="C281" t="inlineStr">
        <is>
          <t>3G</t>
        </is>
      </c>
      <c r="D281" t="inlineStr">
        <is>
          <t>3E</t>
        </is>
      </c>
      <c r="E281" t="inlineStr">
        <is>
          <t>3D</t>
        </is>
      </c>
      <c r="F281" t="inlineStr">
        <is>
          <t>3A</t>
        </is>
      </c>
      <c r="G281" t="inlineStr">
        <is>
          <t>3F</t>
        </is>
      </c>
      <c r="H281" t="inlineStr">
        <is>
          <t>3I</t>
        </is>
      </c>
      <c r="I281" t="inlineStr">
        <is>
          <t>3K</t>
        </is>
      </c>
      <c r="J281" t="inlineStr">
        <is>
          <t>ACDEFGIK</t>
        </is>
      </c>
    </row>
    <row r="282">
      <c r="A282" t="n">
        <v>281</v>
      </c>
      <c r="B282" t="inlineStr">
        <is>
          <t>3C</t>
        </is>
      </c>
      <c r="C282" t="inlineStr">
        <is>
          <t>3G</t>
        </is>
      </c>
      <c r="D282" t="inlineStr">
        <is>
          <t>3J</t>
        </is>
      </c>
      <c r="E282" t="inlineStr">
        <is>
          <t>3D</t>
        </is>
      </c>
      <c r="F282" t="inlineStr">
        <is>
          <t>3A</t>
        </is>
      </c>
      <c r="G282" t="inlineStr">
        <is>
          <t>3F</t>
        </is>
      </c>
      <c r="H282" t="inlineStr">
        <is>
          <t>3E</t>
        </is>
      </c>
      <c r="I282" t="inlineStr">
        <is>
          <t>3I</t>
        </is>
      </c>
      <c r="J282" t="inlineStr">
        <is>
          <t>ACDEFGIJ</t>
        </is>
      </c>
    </row>
    <row r="283">
      <c r="A283" t="n">
        <v>282</v>
      </c>
      <c r="B283" t="inlineStr">
        <is>
          <t>3H</t>
        </is>
      </c>
      <c r="C283" t="inlineStr">
        <is>
          <t>3G</t>
        </is>
      </c>
      <c r="D283" t="inlineStr">
        <is>
          <t>3F</t>
        </is>
      </c>
      <c r="E283" t="inlineStr">
        <is>
          <t>3C</t>
        </is>
      </c>
      <c r="F283" t="inlineStr">
        <is>
          <t>3A</t>
        </is>
      </c>
      <c r="G283" t="inlineStr">
        <is>
          <t>3D</t>
        </is>
      </c>
      <c r="H283" t="inlineStr">
        <is>
          <t>3L</t>
        </is>
      </c>
      <c r="I283" t="inlineStr">
        <is>
          <t>3E</t>
        </is>
      </c>
      <c r="J283" t="inlineStr">
        <is>
          <t>ACDEFGHL</t>
        </is>
      </c>
    </row>
    <row r="284">
      <c r="A284" t="n">
        <v>283</v>
      </c>
      <c r="B284" t="inlineStr">
        <is>
          <t>3H</t>
        </is>
      </c>
      <c r="C284" t="inlineStr">
        <is>
          <t>3G</t>
        </is>
      </c>
      <c r="D284" t="inlineStr">
        <is>
          <t>3E</t>
        </is>
      </c>
      <c r="E284" t="inlineStr">
        <is>
          <t>3C</t>
        </is>
      </c>
      <c r="F284" t="inlineStr">
        <is>
          <t>3A</t>
        </is>
      </c>
      <c r="G284" t="inlineStr">
        <is>
          <t>3F</t>
        </is>
      </c>
      <c r="H284" t="inlineStr">
        <is>
          <t>3D</t>
        </is>
      </c>
      <c r="I284" t="inlineStr">
        <is>
          <t>3K</t>
        </is>
      </c>
      <c r="J284" t="inlineStr">
        <is>
          <t>ACDEFGHK</t>
        </is>
      </c>
    </row>
    <row r="285">
      <c r="A285" t="n">
        <v>284</v>
      </c>
      <c r="B285" t="inlineStr">
        <is>
          <t>3H</t>
        </is>
      </c>
      <c r="C285" t="inlineStr">
        <is>
          <t>3G</t>
        </is>
      </c>
      <c r="D285" t="inlineStr">
        <is>
          <t>3J</t>
        </is>
      </c>
      <c r="E285" t="inlineStr">
        <is>
          <t>3C</t>
        </is>
      </c>
      <c r="F285" t="inlineStr">
        <is>
          <t>3A</t>
        </is>
      </c>
      <c r="G285" t="inlineStr">
        <is>
          <t>3F</t>
        </is>
      </c>
      <c r="H285" t="inlineStr">
        <is>
          <t>3D</t>
        </is>
      </c>
      <c r="I285" t="inlineStr">
        <is>
          <t>3E</t>
        </is>
      </c>
      <c r="J285" t="inlineStr">
        <is>
          <t>ACDEFGHJ</t>
        </is>
      </c>
    </row>
    <row r="286">
      <c r="A286" t="n">
        <v>285</v>
      </c>
      <c r="B286" t="inlineStr">
        <is>
          <t>3H</t>
        </is>
      </c>
      <c r="C286" t="inlineStr">
        <is>
          <t>3G</t>
        </is>
      </c>
      <c r="D286" t="inlineStr">
        <is>
          <t>3E</t>
        </is>
      </c>
      <c r="E286" t="inlineStr">
        <is>
          <t>3C</t>
        </is>
      </c>
      <c r="F286" t="inlineStr">
        <is>
          <t>3A</t>
        </is>
      </c>
      <c r="G286" t="inlineStr">
        <is>
          <t>3F</t>
        </is>
      </c>
      <c r="H286" t="inlineStr">
        <is>
          <t>3D</t>
        </is>
      </c>
      <c r="I286" t="inlineStr">
        <is>
          <t>3I</t>
        </is>
      </c>
      <c r="J286" t="inlineStr">
        <is>
          <t>ACDEFGHI</t>
        </is>
      </c>
    </row>
    <row r="287">
      <c r="A287" t="n">
        <v>286</v>
      </c>
      <c r="B287" t="inlineStr">
        <is>
          <t>3H</t>
        </is>
      </c>
      <c r="C287" t="inlineStr">
        <is>
          <t>3J</t>
        </is>
      </c>
      <c r="D287" t="inlineStr">
        <is>
          <t>3B</t>
        </is>
      </c>
      <c r="E287" t="inlineStr">
        <is>
          <t>3A</t>
        </is>
      </c>
      <c r="F287" t="inlineStr">
        <is>
          <t>3I</t>
        </is>
      </c>
      <c r="G287" t="inlineStr">
        <is>
          <t>3G</t>
        </is>
      </c>
      <c r="H287" t="inlineStr">
        <is>
          <t>3L</t>
        </is>
      </c>
      <c r="I287" t="inlineStr">
        <is>
          <t>3K</t>
        </is>
      </c>
      <c r="J287" t="inlineStr">
        <is>
          <t>ABGHIJKL</t>
        </is>
      </c>
    </row>
    <row r="288">
      <c r="A288" t="n">
        <v>287</v>
      </c>
      <c r="B288" t="inlineStr">
        <is>
          <t>3H</t>
        </is>
      </c>
      <c r="C288" t="inlineStr">
        <is>
          <t>3J</t>
        </is>
      </c>
      <c r="D288" t="inlineStr">
        <is>
          <t>3B</t>
        </is>
      </c>
      <c r="E288" t="inlineStr">
        <is>
          <t>3A</t>
        </is>
      </c>
      <c r="F288" t="inlineStr">
        <is>
          <t>3I</t>
        </is>
      </c>
      <c r="G288" t="inlineStr">
        <is>
          <t>3F</t>
        </is>
      </c>
      <c r="H288" t="inlineStr">
        <is>
          <t>3L</t>
        </is>
      </c>
      <c r="I288" t="inlineStr">
        <is>
          <t>3K</t>
        </is>
      </c>
      <c r="J288" t="inlineStr">
        <is>
          <t>ABFHIJKL</t>
        </is>
      </c>
    </row>
    <row r="289">
      <c r="A289" t="n">
        <v>288</v>
      </c>
      <c r="B289" t="inlineStr">
        <is>
          <t>3I</t>
        </is>
      </c>
      <c r="C289" t="inlineStr">
        <is>
          <t>3J</t>
        </is>
      </c>
      <c r="D289" t="inlineStr">
        <is>
          <t>3B</t>
        </is>
      </c>
      <c r="E289" t="inlineStr">
        <is>
          <t>3F</t>
        </is>
      </c>
      <c r="F289" t="inlineStr">
        <is>
          <t>3A</t>
        </is>
      </c>
      <c r="G289" t="inlineStr">
        <is>
          <t>3G</t>
        </is>
      </c>
      <c r="H289" t="inlineStr">
        <is>
          <t>3L</t>
        </is>
      </c>
      <c r="I289" t="inlineStr">
        <is>
          <t>3K</t>
        </is>
      </c>
      <c r="J289" t="inlineStr">
        <is>
          <t>ABFGIJKL</t>
        </is>
      </c>
    </row>
    <row r="290">
      <c r="A290" t="n">
        <v>289</v>
      </c>
      <c r="B290" t="inlineStr">
        <is>
          <t>3H</t>
        </is>
      </c>
      <c r="C290" t="inlineStr">
        <is>
          <t>3J</t>
        </is>
      </c>
      <c r="D290" t="inlineStr">
        <is>
          <t>3B</t>
        </is>
      </c>
      <c r="E290" t="inlineStr">
        <is>
          <t>3F</t>
        </is>
      </c>
      <c r="F290" t="inlineStr">
        <is>
          <t>3A</t>
        </is>
      </c>
      <c r="G290" t="inlineStr">
        <is>
          <t>3G</t>
        </is>
      </c>
      <c r="H290" t="inlineStr">
        <is>
          <t>3L</t>
        </is>
      </c>
      <c r="I290" t="inlineStr">
        <is>
          <t>3K</t>
        </is>
      </c>
      <c r="J290" t="inlineStr">
        <is>
          <t>ABFGHJKL</t>
        </is>
      </c>
    </row>
    <row r="291">
      <c r="A291" t="n">
        <v>290</v>
      </c>
      <c r="B291" t="inlineStr">
        <is>
          <t>3H</t>
        </is>
      </c>
      <c r="C291" t="inlineStr">
        <is>
          <t>3G</t>
        </is>
      </c>
      <c r="D291" t="inlineStr">
        <is>
          <t>3B</t>
        </is>
      </c>
      <c r="E291" t="inlineStr">
        <is>
          <t>3A</t>
        </is>
      </c>
      <c r="F291" t="inlineStr">
        <is>
          <t>3I</t>
        </is>
      </c>
      <c r="G291" t="inlineStr">
        <is>
          <t>3F</t>
        </is>
      </c>
      <c r="H291" t="inlineStr">
        <is>
          <t>3L</t>
        </is>
      </c>
      <c r="I291" t="inlineStr">
        <is>
          <t>3K</t>
        </is>
      </c>
      <c r="J291" t="inlineStr">
        <is>
          <t>ABFGHIKL</t>
        </is>
      </c>
    </row>
    <row r="292">
      <c r="A292" t="n">
        <v>291</v>
      </c>
      <c r="B292" t="inlineStr">
        <is>
          <t>3H</t>
        </is>
      </c>
      <c r="C292" t="inlineStr">
        <is>
          <t>3J</t>
        </is>
      </c>
      <c r="D292" t="inlineStr">
        <is>
          <t>3B</t>
        </is>
      </c>
      <c r="E292" t="inlineStr">
        <is>
          <t>3F</t>
        </is>
      </c>
      <c r="F292" t="inlineStr">
        <is>
          <t>3A</t>
        </is>
      </c>
      <c r="G292" t="inlineStr">
        <is>
          <t>3G</t>
        </is>
      </c>
      <c r="H292" t="inlineStr">
        <is>
          <t>3L</t>
        </is>
      </c>
      <c r="I292" t="inlineStr">
        <is>
          <t>3I</t>
        </is>
      </c>
      <c r="J292" t="inlineStr">
        <is>
          <t>ABFGHIJL</t>
        </is>
      </c>
    </row>
    <row r="293">
      <c r="A293" t="n">
        <v>292</v>
      </c>
      <c r="B293" t="inlineStr">
        <is>
          <t>3H</t>
        </is>
      </c>
      <c r="C293" t="inlineStr">
        <is>
          <t>3J</t>
        </is>
      </c>
      <c r="D293" t="inlineStr">
        <is>
          <t>3B</t>
        </is>
      </c>
      <c r="E293" t="inlineStr">
        <is>
          <t>3F</t>
        </is>
      </c>
      <c r="F293" t="inlineStr">
        <is>
          <t>3A</t>
        </is>
      </c>
      <c r="G293" t="inlineStr">
        <is>
          <t>3G</t>
        </is>
      </c>
      <c r="H293" t="inlineStr">
        <is>
          <t>3I</t>
        </is>
      </c>
      <c r="I293" t="inlineStr">
        <is>
          <t>3K</t>
        </is>
      </c>
      <c r="J293" t="inlineStr">
        <is>
          <t>ABFGHIJK</t>
        </is>
      </c>
    </row>
    <row r="294">
      <c r="A294" t="n">
        <v>293</v>
      </c>
      <c r="B294" t="inlineStr">
        <is>
          <t>3E</t>
        </is>
      </c>
      <c r="C294" t="inlineStr">
        <is>
          <t>3J</t>
        </is>
      </c>
      <c r="D294" t="inlineStr">
        <is>
          <t>3B</t>
        </is>
      </c>
      <c r="E294" t="inlineStr">
        <is>
          <t>3A</t>
        </is>
      </c>
      <c r="F294" t="inlineStr">
        <is>
          <t>3I</t>
        </is>
      </c>
      <c r="G294" t="inlineStr">
        <is>
          <t>3H</t>
        </is>
      </c>
      <c r="H294" t="inlineStr">
        <is>
          <t>3L</t>
        </is>
      </c>
      <c r="I294" t="inlineStr">
        <is>
          <t>3K</t>
        </is>
      </c>
      <c r="J294" t="inlineStr">
        <is>
          <t>ABEHIJKL</t>
        </is>
      </c>
    </row>
    <row r="295">
      <c r="A295" t="n">
        <v>294</v>
      </c>
      <c r="B295" t="inlineStr">
        <is>
          <t>3E</t>
        </is>
      </c>
      <c r="C295" t="inlineStr">
        <is>
          <t>3J</t>
        </is>
      </c>
      <c r="D295" t="inlineStr">
        <is>
          <t>3B</t>
        </is>
      </c>
      <c r="E295" t="inlineStr">
        <is>
          <t>3A</t>
        </is>
      </c>
      <c r="F295" t="inlineStr">
        <is>
          <t>3I</t>
        </is>
      </c>
      <c r="G295" t="inlineStr">
        <is>
          <t>3G</t>
        </is>
      </c>
      <c r="H295" t="inlineStr">
        <is>
          <t>3L</t>
        </is>
      </c>
      <c r="I295" t="inlineStr">
        <is>
          <t>3K</t>
        </is>
      </c>
      <c r="J295" t="inlineStr">
        <is>
          <t>ABEGIJKL</t>
        </is>
      </c>
    </row>
    <row r="296">
      <c r="A296" t="n">
        <v>295</v>
      </c>
      <c r="B296" t="inlineStr">
        <is>
          <t>3E</t>
        </is>
      </c>
      <c r="C296" t="inlineStr">
        <is>
          <t>3J</t>
        </is>
      </c>
      <c r="D296" t="inlineStr">
        <is>
          <t>3B</t>
        </is>
      </c>
      <c r="E296" t="inlineStr">
        <is>
          <t>3A</t>
        </is>
      </c>
      <c r="F296" t="inlineStr">
        <is>
          <t>3H</t>
        </is>
      </c>
      <c r="G296" t="inlineStr">
        <is>
          <t>3G</t>
        </is>
      </c>
      <c r="H296" t="inlineStr">
        <is>
          <t>3L</t>
        </is>
      </c>
      <c r="I296" t="inlineStr">
        <is>
          <t>3K</t>
        </is>
      </c>
      <c r="J296" t="inlineStr">
        <is>
          <t>ABEGHJKL</t>
        </is>
      </c>
    </row>
    <row r="297">
      <c r="A297" t="n">
        <v>296</v>
      </c>
      <c r="B297" t="inlineStr">
        <is>
          <t>3E</t>
        </is>
      </c>
      <c r="C297" t="inlineStr">
        <is>
          <t>3G</t>
        </is>
      </c>
      <c r="D297" t="inlineStr">
        <is>
          <t>3B</t>
        </is>
      </c>
      <c r="E297" t="inlineStr">
        <is>
          <t>3A</t>
        </is>
      </c>
      <c r="F297" t="inlineStr">
        <is>
          <t>3I</t>
        </is>
      </c>
      <c r="G297" t="inlineStr">
        <is>
          <t>3H</t>
        </is>
      </c>
      <c r="H297" t="inlineStr">
        <is>
          <t>3L</t>
        </is>
      </c>
      <c r="I297" t="inlineStr">
        <is>
          <t>3K</t>
        </is>
      </c>
      <c r="J297" t="inlineStr">
        <is>
          <t>ABEGHIKL</t>
        </is>
      </c>
    </row>
    <row r="298">
      <c r="A298" t="n">
        <v>297</v>
      </c>
      <c r="B298" t="inlineStr">
        <is>
          <t>3E</t>
        </is>
      </c>
      <c r="C298" t="inlineStr">
        <is>
          <t>3J</t>
        </is>
      </c>
      <c r="D298" t="inlineStr">
        <is>
          <t>3B</t>
        </is>
      </c>
      <c r="E298" t="inlineStr">
        <is>
          <t>3A</t>
        </is>
      </c>
      <c r="F298" t="inlineStr">
        <is>
          <t>3H</t>
        </is>
      </c>
      <c r="G298" t="inlineStr">
        <is>
          <t>3G</t>
        </is>
      </c>
      <c r="H298" t="inlineStr">
        <is>
          <t>3L</t>
        </is>
      </c>
      <c r="I298" t="inlineStr">
        <is>
          <t>3I</t>
        </is>
      </c>
      <c r="J298" t="inlineStr">
        <is>
          <t>ABEGHIJL</t>
        </is>
      </c>
    </row>
    <row r="299">
      <c r="A299" t="n">
        <v>298</v>
      </c>
      <c r="B299" t="inlineStr">
        <is>
          <t>3E</t>
        </is>
      </c>
      <c r="C299" t="inlineStr">
        <is>
          <t>3J</t>
        </is>
      </c>
      <c r="D299" t="inlineStr">
        <is>
          <t>3B</t>
        </is>
      </c>
      <c r="E299" t="inlineStr">
        <is>
          <t>3A</t>
        </is>
      </c>
      <c r="F299" t="inlineStr">
        <is>
          <t>3H</t>
        </is>
      </c>
      <c r="G299" t="inlineStr">
        <is>
          <t>3G</t>
        </is>
      </c>
      <c r="H299" t="inlineStr">
        <is>
          <t>3I</t>
        </is>
      </c>
      <c r="I299" t="inlineStr">
        <is>
          <t>3K</t>
        </is>
      </c>
      <c r="J299" t="inlineStr">
        <is>
          <t>ABEGHIJK</t>
        </is>
      </c>
    </row>
    <row r="300">
      <c r="A300" t="n">
        <v>299</v>
      </c>
      <c r="B300" t="inlineStr">
        <is>
          <t>3E</t>
        </is>
      </c>
      <c r="C300" t="inlineStr">
        <is>
          <t>3J</t>
        </is>
      </c>
      <c r="D300" t="inlineStr">
        <is>
          <t>3B</t>
        </is>
      </c>
      <c r="E300" t="inlineStr">
        <is>
          <t>3A</t>
        </is>
      </c>
      <c r="F300" t="inlineStr">
        <is>
          <t>3I</t>
        </is>
      </c>
      <c r="G300" t="inlineStr">
        <is>
          <t>3F</t>
        </is>
      </c>
      <c r="H300" t="inlineStr">
        <is>
          <t>3L</t>
        </is>
      </c>
      <c r="I300" t="inlineStr">
        <is>
          <t>3K</t>
        </is>
      </c>
      <c r="J300" t="inlineStr">
        <is>
          <t>ABEFIJKL</t>
        </is>
      </c>
    </row>
    <row r="301">
      <c r="A301" t="n">
        <v>300</v>
      </c>
      <c r="B301" t="inlineStr">
        <is>
          <t>3E</t>
        </is>
      </c>
      <c r="C301" t="inlineStr">
        <is>
          <t>3J</t>
        </is>
      </c>
      <c r="D301" t="inlineStr">
        <is>
          <t>3B</t>
        </is>
      </c>
      <c r="E301" t="inlineStr">
        <is>
          <t>3F</t>
        </is>
      </c>
      <c r="F301" t="inlineStr">
        <is>
          <t>3A</t>
        </is>
      </c>
      <c r="G301" t="inlineStr">
        <is>
          <t>3H</t>
        </is>
      </c>
      <c r="H301" t="inlineStr">
        <is>
          <t>3L</t>
        </is>
      </c>
      <c r="I301" t="inlineStr">
        <is>
          <t>3K</t>
        </is>
      </c>
      <c r="J301" t="inlineStr">
        <is>
          <t>ABEFHJKL</t>
        </is>
      </c>
    </row>
    <row r="302">
      <c r="A302" t="n">
        <v>301</v>
      </c>
      <c r="B302" t="inlineStr">
        <is>
          <t>3E</t>
        </is>
      </c>
      <c r="C302" t="inlineStr">
        <is>
          <t>3I</t>
        </is>
      </c>
      <c r="D302" t="inlineStr">
        <is>
          <t>3B</t>
        </is>
      </c>
      <c r="E302" t="inlineStr">
        <is>
          <t>3F</t>
        </is>
      </c>
      <c r="F302" t="inlineStr">
        <is>
          <t>3A</t>
        </is>
      </c>
      <c r="G302" t="inlineStr">
        <is>
          <t>3H</t>
        </is>
      </c>
      <c r="H302" t="inlineStr">
        <is>
          <t>3L</t>
        </is>
      </c>
      <c r="I302" t="inlineStr">
        <is>
          <t>3K</t>
        </is>
      </c>
      <c r="J302" t="inlineStr">
        <is>
          <t>ABEFHIKL</t>
        </is>
      </c>
    </row>
    <row r="303">
      <c r="A303" t="n">
        <v>302</v>
      </c>
      <c r="B303" t="inlineStr">
        <is>
          <t>3E</t>
        </is>
      </c>
      <c r="C303" t="inlineStr">
        <is>
          <t>3J</t>
        </is>
      </c>
      <c r="D303" t="inlineStr">
        <is>
          <t>3B</t>
        </is>
      </c>
      <c r="E303" t="inlineStr">
        <is>
          <t>3F</t>
        </is>
      </c>
      <c r="F303" t="inlineStr">
        <is>
          <t>3A</t>
        </is>
      </c>
      <c r="G303" t="inlineStr">
        <is>
          <t>3H</t>
        </is>
      </c>
      <c r="H303" t="inlineStr">
        <is>
          <t>3L</t>
        </is>
      </c>
      <c r="I303" t="inlineStr">
        <is>
          <t>3I</t>
        </is>
      </c>
      <c r="J303" t="inlineStr">
        <is>
          <t>ABEFHIJL</t>
        </is>
      </c>
    </row>
    <row r="304">
      <c r="A304" t="n">
        <v>303</v>
      </c>
      <c r="B304" t="inlineStr">
        <is>
          <t>3E</t>
        </is>
      </c>
      <c r="C304" t="inlineStr">
        <is>
          <t>3J</t>
        </is>
      </c>
      <c r="D304" t="inlineStr">
        <is>
          <t>3B</t>
        </is>
      </c>
      <c r="E304" t="inlineStr">
        <is>
          <t>3F</t>
        </is>
      </c>
      <c r="F304" t="inlineStr">
        <is>
          <t>3A</t>
        </is>
      </c>
      <c r="G304" t="inlineStr">
        <is>
          <t>3H</t>
        </is>
      </c>
      <c r="H304" t="inlineStr">
        <is>
          <t>3I</t>
        </is>
      </c>
      <c r="I304" t="inlineStr">
        <is>
          <t>3K</t>
        </is>
      </c>
      <c r="J304" t="inlineStr">
        <is>
          <t>ABEFHIJK</t>
        </is>
      </c>
    </row>
    <row r="305">
      <c r="A305" t="n">
        <v>304</v>
      </c>
      <c r="B305" t="inlineStr">
        <is>
          <t>3E</t>
        </is>
      </c>
      <c r="C305" t="inlineStr">
        <is>
          <t>3J</t>
        </is>
      </c>
      <c r="D305" t="inlineStr">
        <is>
          <t>3B</t>
        </is>
      </c>
      <c r="E305" t="inlineStr">
        <is>
          <t>3F</t>
        </is>
      </c>
      <c r="F305" t="inlineStr">
        <is>
          <t>3A</t>
        </is>
      </c>
      <c r="G305" t="inlineStr">
        <is>
          <t>3G</t>
        </is>
      </c>
      <c r="H305" t="inlineStr">
        <is>
          <t>3L</t>
        </is>
      </c>
      <c r="I305" t="inlineStr">
        <is>
          <t>3K</t>
        </is>
      </c>
      <c r="J305" t="inlineStr">
        <is>
          <t>ABEFGJKL</t>
        </is>
      </c>
    </row>
    <row r="306">
      <c r="A306" t="n">
        <v>305</v>
      </c>
      <c r="B306" t="inlineStr">
        <is>
          <t>3E</t>
        </is>
      </c>
      <c r="C306" t="inlineStr">
        <is>
          <t>3G</t>
        </is>
      </c>
      <c r="D306" t="inlineStr">
        <is>
          <t>3B</t>
        </is>
      </c>
      <c r="E306" t="inlineStr">
        <is>
          <t>3A</t>
        </is>
      </c>
      <c r="F306" t="inlineStr">
        <is>
          <t>3I</t>
        </is>
      </c>
      <c r="G306" t="inlineStr">
        <is>
          <t>3F</t>
        </is>
      </c>
      <c r="H306" t="inlineStr">
        <is>
          <t>3L</t>
        </is>
      </c>
      <c r="I306" t="inlineStr">
        <is>
          <t>3K</t>
        </is>
      </c>
      <c r="J306" t="inlineStr">
        <is>
          <t>ABEFGIKL</t>
        </is>
      </c>
    </row>
    <row r="307">
      <c r="A307" t="n">
        <v>306</v>
      </c>
      <c r="B307" t="inlineStr">
        <is>
          <t>3E</t>
        </is>
      </c>
      <c r="C307" t="inlineStr">
        <is>
          <t>3J</t>
        </is>
      </c>
      <c r="D307" t="inlineStr">
        <is>
          <t>3B</t>
        </is>
      </c>
      <c r="E307" t="inlineStr">
        <is>
          <t>3F</t>
        </is>
      </c>
      <c r="F307" t="inlineStr">
        <is>
          <t>3A</t>
        </is>
      </c>
      <c r="G307" t="inlineStr">
        <is>
          <t>3G</t>
        </is>
      </c>
      <c r="H307" t="inlineStr">
        <is>
          <t>3L</t>
        </is>
      </c>
      <c r="I307" t="inlineStr">
        <is>
          <t>3I</t>
        </is>
      </c>
      <c r="J307" t="inlineStr">
        <is>
          <t>ABEFGIJL</t>
        </is>
      </c>
    </row>
    <row r="308">
      <c r="A308" t="n">
        <v>307</v>
      </c>
      <c r="B308" t="inlineStr">
        <is>
          <t>3E</t>
        </is>
      </c>
      <c r="C308" t="inlineStr">
        <is>
          <t>3J</t>
        </is>
      </c>
      <c r="D308" t="inlineStr">
        <is>
          <t>3B</t>
        </is>
      </c>
      <c r="E308" t="inlineStr">
        <is>
          <t>3F</t>
        </is>
      </c>
      <c r="F308" t="inlineStr">
        <is>
          <t>3A</t>
        </is>
      </c>
      <c r="G308" t="inlineStr">
        <is>
          <t>3G</t>
        </is>
      </c>
      <c r="H308" t="inlineStr">
        <is>
          <t>3I</t>
        </is>
      </c>
      <c r="I308" t="inlineStr">
        <is>
          <t>3K</t>
        </is>
      </c>
      <c r="J308" t="inlineStr">
        <is>
          <t>ABEFGIJK</t>
        </is>
      </c>
    </row>
    <row r="309">
      <c r="A309" t="n">
        <v>308</v>
      </c>
      <c r="B309" t="inlineStr">
        <is>
          <t>3E</t>
        </is>
      </c>
      <c r="C309" t="inlineStr">
        <is>
          <t>3G</t>
        </is>
      </c>
      <c r="D309" t="inlineStr">
        <is>
          <t>3B</t>
        </is>
      </c>
      <c r="E309" t="inlineStr">
        <is>
          <t>3F</t>
        </is>
      </c>
      <c r="F309" t="inlineStr">
        <is>
          <t>3A</t>
        </is>
      </c>
      <c r="G309" t="inlineStr">
        <is>
          <t>3H</t>
        </is>
      </c>
      <c r="H309" t="inlineStr">
        <is>
          <t>3L</t>
        </is>
      </c>
      <c r="I309" t="inlineStr">
        <is>
          <t>3K</t>
        </is>
      </c>
      <c r="J309" t="inlineStr">
        <is>
          <t>ABEFGHKL</t>
        </is>
      </c>
    </row>
    <row r="310">
      <c r="A310" t="n">
        <v>309</v>
      </c>
      <c r="B310" t="inlineStr">
        <is>
          <t>3H</t>
        </is>
      </c>
      <c r="C310" t="inlineStr">
        <is>
          <t>3J</t>
        </is>
      </c>
      <c r="D310" t="inlineStr">
        <is>
          <t>3B</t>
        </is>
      </c>
      <c r="E310" t="inlineStr">
        <is>
          <t>3F</t>
        </is>
      </c>
      <c r="F310" t="inlineStr">
        <is>
          <t>3A</t>
        </is>
      </c>
      <c r="G310" t="inlineStr">
        <is>
          <t>3G</t>
        </is>
      </c>
      <c r="H310" t="inlineStr">
        <is>
          <t>3L</t>
        </is>
      </c>
      <c r="I310" t="inlineStr">
        <is>
          <t>3E</t>
        </is>
      </c>
      <c r="J310" t="inlineStr">
        <is>
          <t>ABEFGHJL</t>
        </is>
      </c>
    </row>
    <row r="311">
      <c r="A311" t="n">
        <v>310</v>
      </c>
      <c r="B311" t="inlineStr">
        <is>
          <t>3H</t>
        </is>
      </c>
      <c r="C311" t="inlineStr">
        <is>
          <t>3J</t>
        </is>
      </c>
      <c r="D311" t="inlineStr">
        <is>
          <t>3B</t>
        </is>
      </c>
      <c r="E311" t="inlineStr">
        <is>
          <t>3F</t>
        </is>
      </c>
      <c r="F311" t="inlineStr">
        <is>
          <t>3A</t>
        </is>
      </c>
      <c r="G311" t="inlineStr">
        <is>
          <t>3G</t>
        </is>
      </c>
      <c r="H311" t="inlineStr">
        <is>
          <t>3E</t>
        </is>
      </c>
      <c r="I311" t="inlineStr">
        <is>
          <t>3K</t>
        </is>
      </c>
      <c r="J311" t="inlineStr">
        <is>
          <t>ABEFGHJK</t>
        </is>
      </c>
    </row>
    <row r="312">
      <c r="A312" t="n">
        <v>311</v>
      </c>
      <c r="B312" t="inlineStr">
        <is>
          <t>3E</t>
        </is>
      </c>
      <c r="C312" t="inlineStr">
        <is>
          <t>3G</t>
        </is>
      </c>
      <c r="D312" t="inlineStr">
        <is>
          <t>3B</t>
        </is>
      </c>
      <c r="E312" t="inlineStr">
        <is>
          <t>3F</t>
        </is>
      </c>
      <c r="F312" t="inlineStr">
        <is>
          <t>3A</t>
        </is>
      </c>
      <c r="G312" t="inlineStr">
        <is>
          <t>3H</t>
        </is>
      </c>
      <c r="H312" t="inlineStr">
        <is>
          <t>3L</t>
        </is>
      </c>
      <c r="I312" t="inlineStr">
        <is>
          <t>3I</t>
        </is>
      </c>
      <c r="J312" t="inlineStr">
        <is>
          <t>ABEFGHIL</t>
        </is>
      </c>
    </row>
    <row r="313">
      <c r="A313" t="n">
        <v>312</v>
      </c>
      <c r="B313" t="inlineStr">
        <is>
          <t>3E</t>
        </is>
      </c>
      <c r="C313" t="inlineStr">
        <is>
          <t>3G</t>
        </is>
      </c>
      <c r="D313" t="inlineStr">
        <is>
          <t>3B</t>
        </is>
      </c>
      <c r="E313" t="inlineStr">
        <is>
          <t>3F</t>
        </is>
      </c>
      <c r="F313" t="inlineStr">
        <is>
          <t>3A</t>
        </is>
      </c>
      <c r="G313" t="inlineStr">
        <is>
          <t>3H</t>
        </is>
      </c>
      <c r="H313" t="inlineStr">
        <is>
          <t>3I</t>
        </is>
      </c>
      <c r="I313" t="inlineStr">
        <is>
          <t>3K</t>
        </is>
      </c>
      <c r="J313" t="inlineStr">
        <is>
          <t>ABEFGHIK</t>
        </is>
      </c>
    </row>
    <row r="314">
      <c r="A314" t="n">
        <v>313</v>
      </c>
      <c r="B314" t="inlineStr">
        <is>
          <t>3H</t>
        </is>
      </c>
      <c r="C314" t="inlineStr">
        <is>
          <t>3J</t>
        </is>
      </c>
      <c r="D314" t="inlineStr">
        <is>
          <t>3B</t>
        </is>
      </c>
      <c r="E314" t="inlineStr">
        <is>
          <t>3F</t>
        </is>
      </c>
      <c r="F314" t="inlineStr">
        <is>
          <t>3A</t>
        </is>
      </c>
      <c r="G314" t="inlineStr">
        <is>
          <t>3G</t>
        </is>
      </c>
      <c r="H314" t="inlineStr">
        <is>
          <t>3E</t>
        </is>
      </c>
      <c r="I314" t="inlineStr">
        <is>
          <t>3I</t>
        </is>
      </c>
      <c r="J314" t="inlineStr">
        <is>
          <t>ABEFGHIJ</t>
        </is>
      </c>
    </row>
    <row r="315">
      <c r="A315" t="n">
        <v>314</v>
      </c>
      <c r="B315" t="inlineStr">
        <is>
          <t>3I</t>
        </is>
      </c>
      <c r="C315" t="inlineStr">
        <is>
          <t>3J</t>
        </is>
      </c>
      <c r="D315" t="inlineStr">
        <is>
          <t>3B</t>
        </is>
      </c>
      <c r="E315" t="inlineStr">
        <is>
          <t>3D</t>
        </is>
      </c>
      <c r="F315" t="inlineStr">
        <is>
          <t>3A</t>
        </is>
      </c>
      <c r="G315" t="inlineStr">
        <is>
          <t>3H</t>
        </is>
      </c>
      <c r="H315" t="inlineStr">
        <is>
          <t>3L</t>
        </is>
      </c>
      <c r="I315" t="inlineStr">
        <is>
          <t>3K</t>
        </is>
      </c>
      <c r="J315" t="inlineStr">
        <is>
          <t>ABDHIJKL</t>
        </is>
      </c>
    </row>
    <row r="316">
      <c r="A316" t="n">
        <v>315</v>
      </c>
      <c r="B316" t="inlineStr">
        <is>
          <t>3I</t>
        </is>
      </c>
      <c r="C316" t="inlineStr">
        <is>
          <t>3J</t>
        </is>
      </c>
      <c r="D316" t="inlineStr">
        <is>
          <t>3B</t>
        </is>
      </c>
      <c r="E316" t="inlineStr">
        <is>
          <t>3D</t>
        </is>
      </c>
      <c r="F316" t="inlineStr">
        <is>
          <t>3A</t>
        </is>
      </c>
      <c r="G316" t="inlineStr">
        <is>
          <t>3G</t>
        </is>
      </c>
      <c r="H316" t="inlineStr">
        <is>
          <t>3L</t>
        </is>
      </c>
      <c r="I316" t="inlineStr">
        <is>
          <t>3K</t>
        </is>
      </c>
      <c r="J316" t="inlineStr">
        <is>
          <t>ABDGIJKL</t>
        </is>
      </c>
    </row>
    <row r="317">
      <c r="A317" t="n">
        <v>316</v>
      </c>
      <c r="B317" t="inlineStr">
        <is>
          <t>3H</t>
        </is>
      </c>
      <c r="C317" t="inlineStr">
        <is>
          <t>3J</t>
        </is>
      </c>
      <c r="D317" t="inlineStr">
        <is>
          <t>3B</t>
        </is>
      </c>
      <c r="E317" t="inlineStr">
        <is>
          <t>3D</t>
        </is>
      </c>
      <c r="F317" t="inlineStr">
        <is>
          <t>3A</t>
        </is>
      </c>
      <c r="G317" t="inlineStr">
        <is>
          <t>3G</t>
        </is>
      </c>
      <c r="H317" t="inlineStr">
        <is>
          <t>3L</t>
        </is>
      </c>
      <c r="I317" t="inlineStr">
        <is>
          <t>3K</t>
        </is>
      </c>
      <c r="J317" t="inlineStr">
        <is>
          <t>ABDGHJKL</t>
        </is>
      </c>
    </row>
    <row r="318">
      <c r="A318" t="n">
        <v>317</v>
      </c>
      <c r="B318" t="inlineStr">
        <is>
          <t>3I</t>
        </is>
      </c>
      <c r="C318" t="inlineStr">
        <is>
          <t>3G</t>
        </is>
      </c>
      <c r="D318" t="inlineStr">
        <is>
          <t>3B</t>
        </is>
      </c>
      <c r="E318" t="inlineStr">
        <is>
          <t>3D</t>
        </is>
      </c>
      <c r="F318" t="inlineStr">
        <is>
          <t>3A</t>
        </is>
      </c>
      <c r="G318" t="inlineStr">
        <is>
          <t>3H</t>
        </is>
      </c>
      <c r="H318" t="inlineStr">
        <is>
          <t>3L</t>
        </is>
      </c>
      <c r="I318" t="inlineStr">
        <is>
          <t>3K</t>
        </is>
      </c>
      <c r="J318" t="inlineStr">
        <is>
          <t>ABDGHIKL</t>
        </is>
      </c>
    </row>
    <row r="319">
      <c r="A319" t="n">
        <v>318</v>
      </c>
      <c r="B319" t="inlineStr">
        <is>
          <t>3H</t>
        </is>
      </c>
      <c r="C319" t="inlineStr">
        <is>
          <t>3J</t>
        </is>
      </c>
      <c r="D319" t="inlineStr">
        <is>
          <t>3B</t>
        </is>
      </c>
      <c r="E319" t="inlineStr">
        <is>
          <t>3D</t>
        </is>
      </c>
      <c r="F319" t="inlineStr">
        <is>
          <t>3A</t>
        </is>
      </c>
      <c r="G319" t="inlineStr">
        <is>
          <t>3G</t>
        </is>
      </c>
      <c r="H319" t="inlineStr">
        <is>
          <t>3L</t>
        </is>
      </c>
      <c r="I319" t="inlineStr">
        <is>
          <t>3I</t>
        </is>
      </c>
      <c r="J319" t="inlineStr">
        <is>
          <t>ABDGHIJL</t>
        </is>
      </c>
    </row>
    <row r="320">
      <c r="A320" t="n">
        <v>319</v>
      </c>
      <c r="B320" t="inlineStr">
        <is>
          <t>3H</t>
        </is>
      </c>
      <c r="C320" t="inlineStr">
        <is>
          <t>3J</t>
        </is>
      </c>
      <c r="D320" t="inlineStr">
        <is>
          <t>3B</t>
        </is>
      </c>
      <c r="E320" t="inlineStr">
        <is>
          <t>3D</t>
        </is>
      </c>
      <c r="F320" t="inlineStr">
        <is>
          <t>3A</t>
        </is>
      </c>
      <c r="G320" t="inlineStr">
        <is>
          <t>3G</t>
        </is>
      </c>
      <c r="H320" t="inlineStr">
        <is>
          <t>3I</t>
        </is>
      </c>
      <c r="I320" t="inlineStr">
        <is>
          <t>3K</t>
        </is>
      </c>
      <c r="J320" t="inlineStr">
        <is>
          <t>ABDGHIJK</t>
        </is>
      </c>
    </row>
    <row r="321">
      <c r="A321" t="n">
        <v>320</v>
      </c>
      <c r="B321" t="inlineStr">
        <is>
          <t>3I</t>
        </is>
      </c>
      <c r="C321" t="inlineStr">
        <is>
          <t>3J</t>
        </is>
      </c>
      <c r="D321" t="inlineStr">
        <is>
          <t>3B</t>
        </is>
      </c>
      <c r="E321" t="inlineStr">
        <is>
          <t>3D</t>
        </is>
      </c>
      <c r="F321" t="inlineStr">
        <is>
          <t>3A</t>
        </is>
      </c>
      <c r="G321" t="inlineStr">
        <is>
          <t>3F</t>
        </is>
      </c>
      <c r="H321" t="inlineStr">
        <is>
          <t>3L</t>
        </is>
      </c>
      <c r="I321" t="inlineStr">
        <is>
          <t>3K</t>
        </is>
      </c>
      <c r="J321" t="inlineStr">
        <is>
          <t>ABDFIJKL</t>
        </is>
      </c>
    </row>
    <row r="322">
      <c r="A322" t="n">
        <v>321</v>
      </c>
      <c r="B322" t="inlineStr">
        <is>
          <t>3H</t>
        </is>
      </c>
      <c r="C322" t="inlineStr">
        <is>
          <t>3J</t>
        </is>
      </c>
      <c r="D322" t="inlineStr">
        <is>
          <t>3B</t>
        </is>
      </c>
      <c r="E322" t="inlineStr">
        <is>
          <t>3D</t>
        </is>
      </c>
      <c r="F322" t="inlineStr">
        <is>
          <t>3A</t>
        </is>
      </c>
      <c r="G322" t="inlineStr">
        <is>
          <t>3F</t>
        </is>
      </c>
      <c r="H322" t="inlineStr">
        <is>
          <t>3L</t>
        </is>
      </c>
      <c r="I322" t="inlineStr">
        <is>
          <t>3K</t>
        </is>
      </c>
      <c r="J322" t="inlineStr">
        <is>
          <t>ABDFHJKL</t>
        </is>
      </c>
    </row>
    <row r="323">
      <c r="A323" t="n">
        <v>322</v>
      </c>
      <c r="B323" t="inlineStr">
        <is>
          <t>3H</t>
        </is>
      </c>
      <c r="C323" t="inlineStr">
        <is>
          <t>3I</t>
        </is>
      </c>
      <c r="D323" t="inlineStr">
        <is>
          <t>3B</t>
        </is>
      </c>
      <c r="E323" t="inlineStr">
        <is>
          <t>3D</t>
        </is>
      </c>
      <c r="F323" t="inlineStr">
        <is>
          <t>3A</t>
        </is>
      </c>
      <c r="G323" t="inlineStr">
        <is>
          <t>3F</t>
        </is>
      </c>
      <c r="H323" t="inlineStr">
        <is>
          <t>3L</t>
        </is>
      </c>
      <c r="I323" t="inlineStr">
        <is>
          <t>3K</t>
        </is>
      </c>
      <c r="J323" t="inlineStr">
        <is>
          <t>ABDFHIKL</t>
        </is>
      </c>
    </row>
    <row r="324">
      <c r="A324" t="n">
        <v>323</v>
      </c>
      <c r="B324" t="inlineStr">
        <is>
          <t>3H</t>
        </is>
      </c>
      <c r="C324" t="inlineStr">
        <is>
          <t>3J</t>
        </is>
      </c>
      <c r="D324" t="inlineStr">
        <is>
          <t>3B</t>
        </is>
      </c>
      <c r="E324" t="inlineStr">
        <is>
          <t>3D</t>
        </is>
      </c>
      <c r="F324" t="inlineStr">
        <is>
          <t>3A</t>
        </is>
      </c>
      <c r="G324" t="inlineStr">
        <is>
          <t>3F</t>
        </is>
      </c>
      <c r="H324" t="inlineStr">
        <is>
          <t>3L</t>
        </is>
      </c>
      <c r="I324" t="inlineStr">
        <is>
          <t>3I</t>
        </is>
      </c>
      <c r="J324" t="inlineStr">
        <is>
          <t>ABDFHIJL</t>
        </is>
      </c>
    </row>
    <row r="325">
      <c r="A325" t="n">
        <v>324</v>
      </c>
      <c r="B325" t="inlineStr">
        <is>
          <t>3H</t>
        </is>
      </c>
      <c r="C325" t="inlineStr">
        <is>
          <t>3J</t>
        </is>
      </c>
      <c r="D325" t="inlineStr">
        <is>
          <t>3B</t>
        </is>
      </c>
      <c r="E325" t="inlineStr">
        <is>
          <t>3D</t>
        </is>
      </c>
      <c r="F325" t="inlineStr">
        <is>
          <t>3A</t>
        </is>
      </c>
      <c r="G325" t="inlineStr">
        <is>
          <t>3F</t>
        </is>
      </c>
      <c r="H325" t="inlineStr">
        <is>
          <t>3I</t>
        </is>
      </c>
      <c r="I325" t="inlineStr">
        <is>
          <t>3K</t>
        </is>
      </c>
      <c r="J325" t="inlineStr">
        <is>
          <t>ABDFHIJK</t>
        </is>
      </c>
    </row>
    <row r="326">
      <c r="A326" t="n">
        <v>325</v>
      </c>
      <c r="B326" t="inlineStr">
        <is>
          <t>3F</t>
        </is>
      </c>
      <c r="C326" t="inlineStr">
        <is>
          <t>3J</t>
        </is>
      </c>
      <c r="D326" t="inlineStr">
        <is>
          <t>3B</t>
        </is>
      </c>
      <c r="E326" t="inlineStr">
        <is>
          <t>3D</t>
        </is>
      </c>
      <c r="F326" t="inlineStr">
        <is>
          <t>3A</t>
        </is>
      </c>
      <c r="G326" t="inlineStr">
        <is>
          <t>3G</t>
        </is>
      </c>
      <c r="H326" t="inlineStr">
        <is>
          <t>3L</t>
        </is>
      </c>
      <c r="I326" t="inlineStr">
        <is>
          <t>3K</t>
        </is>
      </c>
      <c r="J326" t="inlineStr">
        <is>
          <t>ABDFGJKL</t>
        </is>
      </c>
    </row>
    <row r="327">
      <c r="A327" t="n">
        <v>326</v>
      </c>
      <c r="B327" t="inlineStr">
        <is>
          <t>3I</t>
        </is>
      </c>
      <c r="C327" t="inlineStr">
        <is>
          <t>3G</t>
        </is>
      </c>
      <c r="D327" t="inlineStr">
        <is>
          <t>3B</t>
        </is>
      </c>
      <c r="E327" t="inlineStr">
        <is>
          <t>3D</t>
        </is>
      </c>
      <c r="F327" t="inlineStr">
        <is>
          <t>3A</t>
        </is>
      </c>
      <c r="G327" t="inlineStr">
        <is>
          <t>3F</t>
        </is>
      </c>
      <c r="H327" t="inlineStr">
        <is>
          <t>3L</t>
        </is>
      </c>
      <c r="I327" t="inlineStr">
        <is>
          <t>3K</t>
        </is>
      </c>
      <c r="J327" t="inlineStr">
        <is>
          <t>ABDFGIKL</t>
        </is>
      </c>
    </row>
    <row r="328">
      <c r="A328" t="n">
        <v>327</v>
      </c>
      <c r="B328" t="inlineStr">
        <is>
          <t>3F</t>
        </is>
      </c>
      <c r="C328" t="inlineStr">
        <is>
          <t>3J</t>
        </is>
      </c>
      <c r="D328" t="inlineStr">
        <is>
          <t>3B</t>
        </is>
      </c>
      <c r="E328" t="inlineStr">
        <is>
          <t>3D</t>
        </is>
      </c>
      <c r="F328" t="inlineStr">
        <is>
          <t>3A</t>
        </is>
      </c>
      <c r="G328" t="inlineStr">
        <is>
          <t>3G</t>
        </is>
      </c>
      <c r="H328" t="inlineStr">
        <is>
          <t>3L</t>
        </is>
      </c>
      <c r="I328" t="inlineStr">
        <is>
          <t>3I</t>
        </is>
      </c>
      <c r="J328" t="inlineStr">
        <is>
          <t>ABDFGIJL</t>
        </is>
      </c>
    </row>
    <row r="329">
      <c r="A329" t="n">
        <v>328</v>
      </c>
      <c r="B329" t="inlineStr">
        <is>
          <t>3F</t>
        </is>
      </c>
      <c r="C329" t="inlineStr">
        <is>
          <t>3J</t>
        </is>
      </c>
      <c r="D329" t="inlineStr">
        <is>
          <t>3B</t>
        </is>
      </c>
      <c r="E329" t="inlineStr">
        <is>
          <t>3D</t>
        </is>
      </c>
      <c r="F329" t="inlineStr">
        <is>
          <t>3A</t>
        </is>
      </c>
      <c r="G329" t="inlineStr">
        <is>
          <t>3G</t>
        </is>
      </c>
      <c r="H329" t="inlineStr">
        <is>
          <t>3I</t>
        </is>
      </c>
      <c r="I329" t="inlineStr">
        <is>
          <t>3K</t>
        </is>
      </c>
      <c r="J329" t="inlineStr">
        <is>
          <t>ABDFGIJK</t>
        </is>
      </c>
    </row>
    <row r="330">
      <c r="A330" t="n">
        <v>329</v>
      </c>
      <c r="B330" t="inlineStr">
        <is>
          <t>3H</t>
        </is>
      </c>
      <c r="C330" t="inlineStr">
        <is>
          <t>3G</t>
        </is>
      </c>
      <c r="D330" t="inlineStr">
        <is>
          <t>3B</t>
        </is>
      </c>
      <c r="E330" t="inlineStr">
        <is>
          <t>3D</t>
        </is>
      </c>
      <c r="F330" t="inlineStr">
        <is>
          <t>3A</t>
        </is>
      </c>
      <c r="G330" t="inlineStr">
        <is>
          <t>3F</t>
        </is>
      </c>
      <c r="H330" t="inlineStr">
        <is>
          <t>3L</t>
        </is>
      </c>
      <c r="I330" t="inlineStr">
        <is>
          <t>3K</t>
        </is>
      </c>
      <c r="J330" t="inlineStr">
        <is>
          <t>ABDFGHKL</t>
        </is>
      </c>
    </row>
    <row r="331">
      <c r="A331" t="n">
        <v>330</v>
      </c>
      <c r="B331" t="inlineStr">
        <is>
          <t>3H</t>
        </is>
      </c>
      <c r="C331" t="inlineStr">
        <is>
          <t>3G</t>
        </is>
      </c>
      <c r="D331" t="inlineStr">
        <is>
          <t>3B</t>
        </is>
      </c>
      <c r="E331" t="inlineStr">
        <is>
          <t>3D</t>
        </is>
      </c>
      <c r="F331" t="inlineStr">
        <is>
          <t>3A</t>
        </is>
      </c>
      <c r="G331" t="inlineStr">
        <is>
          <t>3F</t>
        </is>
      </c>
      <c r="H331" t="inlineStr">
        <is>
          <t>3L</t>
        </is>
      </c>
      <c r="I331" t="inlineStr">
        <is>
          <t>3J</t>
        </is>
      </c>
      <c r="J331" t="inlineStr">
        <is>
          <t>ABDFGHJL</t>
        </is>
      </c>
    </row>
    <row r="332">
      <c r="A332" t="n">
        <v>331</v>
      </c>
      <c r="B332" t="inlineStr">
        <is>
          <t>3H</t>
        </is>
      </c>
      <c r="C332" t="inlineStr">
        <is>
          <t>3G</t>
        </is>
      </c>
      <c r="D332" t="inlineStr">
        <is>
          <t>3B</t>
        </is>
      </c>
      <c r="E332" t="inlineStr">
        <is>
          <t>3D</t>
        </is>
      </c>
      <c r="F332" t="inlineStr">
        <is>
          <t>3A</t>
        </is>
      </c>
      <c r="G332" t="inlineStr">
        <is>
          <t>3F</t>
        </is>
      </c>
      <c r="H332" t="inlineStr">
        <is>
          <t>3J</t>
        </is>
      </c>
      <c r="I332" t="inlineStr">
        <is>
          <t>3K</t>
        </is>
      </c>
      <c r="J332" t="inlineStr">
        <is>
          <t>ABDFGHJK</t>
        </is>
      </c>
    </row>
    <row r="333">
      <c r="A333" t="n">
        <v>332</v>
      </c>
      <c r="B333" t="inlineStr">
        <is>
          <t>3H</t>
        </is>
      </c>
      <c r="C333" t="inlineStr">
        <is>
          <t>3G</t>
        </is>
      </c>
      <c r="D333" t="inlineStr">
        <is>
          <t>3B</t>
        </is>
      </c>
      <c r="E333" t="inlineStr">
        <is>
          <t>3D</t>
        </is>
      </c>
      <c r="F333" t="inlineStr">
        <is>
          <t>3A</t>
        </is>
      </c>
      <c r="G333" t="inlineStr">
        <is>
          <t>3F</t>
        </is>
      </c>
      <c r="H333" t="inlineStr">
        <is>
          <t>3L</t>
        </is>
      </c>
      <c r="I333" t="inlineStr">
        <is>
          <t>3I</t>
        </is>
      </c>
      <c r="J333" t="inlineStr">
        <is>
          <t>ABDFGHIL</t>
        </is>
      </c>
    </row>
    <row r="334">
      <c r="A334" t="n">
        <v>333</v>
      </c>
      <c r="B334" t="inlineStr">
        <is>
          <t>3H</t>
        </is>
      </c>
      <c r="C334" t="inlineStr">
        <is>
          <t>3G</t>
        </is>
      </c>
      <c r="D334" t="inlineStr">
        <is>
          <t>3B</t>
        </is>
      </c>
      <c r="E334" t="inlineStr">
        <is>
          <t>3D</t>
        </is>
      </c>
      <c r="F334" t="inlineStr">
        <is>
          <t>3A</t>
        </is>
      </c>
      <c r="G334" t="inlineStr">
        <is>
          <t>3F</t>
        </is>
      </c>
      <c r="H334" t="inlineStr">
        <is>
          <t>3I</t>
        </is>
      </c>
      <c r="I334" t="inlineStr">
        <is>
          <t>3K</t>
        </is>
      </c>
      <c r="J334" t="inlineStr">
        <is>
          <t>ABDFGHIK</t>
        </is>
      </c>
    </row>
    <row r="335">
      <c r="A335" t="n">
        <v>334</v>
      </c>
      <c r="B335" t="inlineStr">
        <is>
          <t>3H</t>
        </is>
      </c>
      <c r="C335" t="inlineStr">
        <is>
          <t>3G</t>
        </is>
      </c>
      <c r="D335" t="inlineStr">
        <is>
          <t>3B</t>
        </is>
      </c>
      <c r="E335" t="inlineStr">
        <is>
          <t>3D</t>
        </is>
      </c>
      <c r="F335" t="inlineStr">
        <is>
          <t>3A</t>
        </is>
      </c>
      <c r="G335" t="inlineStr">
        <is>
          <t>3F</t>
        </is>
      </c>
      <c r="H335" t="inlineStr">
        <is>
          <t>3I</t>
        </is>
      </c>
      <c r="I335" t="inlineStr">
        <is>
          <t>3J</t>
        </is>
      </c>
      <c r="J335" t="inlineStr">
        <is>
          <t>ABDFGHIJ</t>
        </is>
      </c>
    </row>
    <row r="336">
      <c r="A336" t="n">
        <v>335</v>
      </c>
      <c r="B336" t="inlineStr">
        <is>
          <t>3E</t>
        </is>
      </c>
      <c r="C336" t="inlineStr">
        <is>
          <t>3J</t>
        </is>
      </c>
      <c r="D336" t="inlineStr">
        <is>
          <t>3B</t>
        </is>
      </c>
      <c r="E336" t="inlineStr">
        <is>
          <t>3A</t>
        </is>
      </c>
      <c r="F336" t="inlineStr">
        <is>
          <t>3I</t>
        </is>
      </c>
      <c r="G336" t="inlineStr">
        <is>
          <t>3D</t>
        </is>
      </c>
      <c r="H336" t="inlineStr">
        <is>
          <t>3L</t>
        </is>
      </c>
      <c r="I336" t="inlineStr">
        <is>
          <t>3K</t>
        </is>
      </c>
      <c r="J336" t="inlineStr">
        <is>
          <t>ABDEIJKL</t>
        </is>
      </c>
    </row>
    <row r="337">
      <c r="A337" t="n">
        <v>336</v>
      </c>
      <c r="B337" t="inlineStr">
        <is>
          <t>3E</t>
        </is>
      </c>
      <c r="C337" t="inlineStr">
        <is>
          <t>3J</t>
        </is>
      </c>
      <c r="D337" t="inlineStr">
        <is>
          <t>3B</t>
        </is>
      </c>
      <c r="E337" t="inlineStr">
        <is>
          <t>3D</t>
        </is>
      </c>
      <c r="F337" t="inlineStr">
        <is>
          <t>3A</t>
        </is>
      </c>
      <c r="G337" t="inlineStr">
        <is>
          <t>3H</t>
        </is>
      </c>
      <c r="H337" t="inlineStr">
        <is>
          <t>3L</t>
        </is>
      </c>
      <c r="I337" t="inlineStr">
        <is>
          <t>3K</t>
        </is>
      </c>
      <c r="J337" t="inlineStr">
        <is>
          <t>ABDEHJKL</t>
        </is>
      </c>
    </row>
    <row r="338">
      <c r="A338" t="n">
        <v>337</v>
      </c>
      <c r="B338" t="inlineStr">
        <is>
          <t>3E</t>
        </is>
      </c>
      <c r="C338" t="inlineStr">
        <is>
          <t>3I</t>
        </is>
      </c>
      <c r="D338" t="inlineStr">
        <is>
          <t>3B</t>
        </is>
      </c>
      <c r="E338" t="inlineStr">
        <is>
          <t>3D</t>
        </is>
      </c>
      <c r="F338" t="inlineStr">
        <is>
          <t>3A</t>
        </is>
      </c>
      <c r="G338" t="inlineStr">
        <is>
          <t>3H</t>
        </is>
      </c>
      <c r="H338" t="inlineStr">
        <is>
          <t>3L</t>
        </is>
      </c>
      <c r="I338" t="inlineStr">
        <is>
          <t>3K</t>
        </is>
      </c>
      <c r="J338" t="inlineStr">
        <is>
          <t>ABDEHIKL</t>
        </is>
      </c>
    </row>
    <row r="339">
      <c r="A339" t="n">
        <v>338</v>
      </c>
      <c r="B339" t="inlineStr">
        <is>
          <t>3E</t>
        </is>
      </c>
      <c r="C339" t="inlineStr">
        <is>
          <t>3J</t>
        </is>
      </c>
      <c r="D339" t="inlineStr">
        <is>
          <t>3B</t>
        </is>
      </c>
      <c r="E339" t="inlineStr">
        <is>
          <t>3D</t>
        </is>
      </c>
      <c r="F339" t="inlineStr">
        <is>
          <t>3A</t>
        </is>
      </c>
      <c r="G339" t="inlineStr">
        <is>
          <t>3H</t>
        </is>
      </c>
      <c r="H339" t="inlineStr">
        <is>
          <t>3L</t>
        </is>
      </c>
      <c r="I339" t="inlineStr">
        <is>
          <t>3I</t>
        </is>
      </c>
      <c r="J339" t="inlineStr">
        <is>
          <t>ABDEHIJL</t>
        </is>
      </c>
    </row>
    <row r="340">
      <c r="A340" t="n">
        <v>339</v>
      </c>
      <c r="B340" t="inlineStr">
        <is>
          <t>3E</t>
        </is>
      </c>
      <c r="C340" t="inlineStr">
        <is>
          <t>3J</t>
        </is>
      </c>
      <c r="D340" t="inlineStr">
        <is>
          <t>3B</t>
        </is>
      </c>
      <c r="E340" t="inlineStr">
        <is>
          <t>3D</t>
        </is>
      </c>
      <c r="F340" t="inlineStr">
        <is>
          <t>3A</t>
        </is>
      </c>
      <c r="G340" t="inlineStr">
        <is>
          <t>3H</t>
        </is>
      </c>
      <c r="H340" t="inlineStr">
        <is>
          <t>3I</t>
        </is>
      </c>
      <c r="I340" t="inlineStr">
        <is>
          <t>3K</t>
        </is>
      </c>
      <c r="J340" t="inlineStr">
        <is>
          <t>ABDEHIJK</t>
        </is>
      </c>
    </row>
    <row r="341">
      <c r="A341" t="n">
        <v>340</v>
      </c>
      <c r="B341" t="inlineStr">
        <is>
          <t>3E</t>
        </is>
      </c>
      <c r="C341" t="inlineStr">
        <is>
          <t>3J</t>
        </is>
      </c>
      <c r="D341" t="inlineStr">
        <is>
          <t>3B</t>
        </is>
      </c>
      <c r="E341" t="inlineStr">
        <is>
          <t>3D</t>
        </is>
      </c>
      <c r="F341" t="inlineStr">
        <is>
          <t>3A</t>
        </is>
      </c>
      <c r="G341" t="inlineStr">
        <is>
          <t>3G</t>
        </is>
      </c>
      <c r="H341" t="inlineStr">
        <is>
          <t>3L</t>
        </is>
      </c>
      <c r="I341" t="inlineStr">
        <is>
          <t>3K</t>
        </is>
      </c>
      <c r="J341" t="inlineStr">
        <is>
          <t>ABDEGJKL</t>
        </is>
      </c>
    </row>
    <row r="342">
      <c r="A342" t="n">
        <v>341</v>
      </c>
      <c r="B342" t="inlineStr">
        <is>
          <t>3E</t>
        </is>
      </c>
      <c r="C342" t="inlineStr">
        <is>
          <t>3G</t>
        </is>
      </c>
      <c r="D342" t="inlineStr">
        <is>
          <t>3B</t>
        </is>
      </c>
      <c r="E342" t="inlineStr">
        <is>
          <t>3A</t>
        </is>
      </c>
      <c r="F342" t="inlineStr">
        <is>
          <t>3I</t>
        </is>
      </c>
      <c r="G342" t="inlineStr">
        <is>
          <t>3D</t>
        </is>
      </c>
      <c r="H342" t="inlineStr">
        <is>
          <t>3L</t>
        </is>
      </c>
      <c r="I342" t="inlineStr">
        <is>
          <t>3K</t>
        </is>
      </c>
      <c r="J342" t="inlineStr">
        <is>
          <t>ABDEGIKL</t>
        </is>
      </c>
    </row>
    <row r="343">
      <c r="A343" t="n">
        <v>342</v>
      </c>
      <c r="B343" t="inlineStr">
        <is>
          <t>3E</t>
        </is>
      </c>
      <c r="C343" t="inlineStr">
        <is>
          <t>3J</t>
        </is>
      </c>
      <c r="D343" t="inlineStr">
        <is>
          <t>3B</t>
        </is>
      </c>
      <c r="E343" t="inlineStr">
        <is>
          <t>3D</t>
        </is>
      </c>
      <c r="F343" t="inlineStr">
        <is>
          <t>3A</t>
        </is>
      </c>
      <c r="G343" t="inlineStr">
        <is>
          <t>3G</t>
        </is>
      </c>
      <c r="H343" t="inlineStr">
        <is>
          <t>3L</t>
        </is>
      </c>
      <c r="I343" t="inlineStr">
        <is>
          <t>3I</t>
        </is>
      </c>
      <c r="J343" t="inlineStr">
        <is>
          <t>ABDEGIJL</t>
        </is>
      </c>
    </row>
    <row r="344">
      <c r="A344" t="n">
        <v>343</v>
      </c>
      <c r="B344" t="inlineStr">
        <is>
          <t>3E</t>
        </is>
      </c>
      <c r="C344" t="inlineStr">
        <is>
          <t>3J</t>
        </is>
      </c>
      <c r="D344" t="inlineStr">
        <is>
          <t>3B</t>
        </is>
      </c>
      <c r="E344" t="inlineStr">
        <is>
          <t>3D</t>
        </is>
      </c>
      <c r="F344" t="inlineStr">
        <is>
          <t>3A</t>
        </is>
      </c>
      <c r="G344" t="inlineStr">
        <is>
          <t>3G</t>
        </is>
      </c>
      <c r="H344" t="inlineStr">
        <is>
          <t>3I</t>
        </is>
      </c>
      <c r="I344" t="inlineStr">
        <is>
          <t>3K</t>
        </is>
      </c>
      <c r="J344" t="inlineStr">
        <is>
          <t>ABDEGIJK</t>
        </is>
      </c>
    </row>
    <row r="345">
      <c r="A345" t="n">
        <v>344</v>
      </c>
      <c r="B345" t="inlineStr">
        <is>
          <t>3E</t>
        </is>
      </c>
      <c r="C345" t="inlineStr">
        <is>
          <t>3G</t>
        </is>
      </c>
      <c r="D345" t="inlineStr">
        <is>
          <t>3B</t>
        </is>
      </c>
      <c r="E345" t="inlineStr">
        <is>
          <t>3D</t>
        </is>
      </c>
      <c r="F345" t="inlineStr">
        <is>
          <t>3A</t>
        </is>
      </c>
      <c r="G345" t="inlineStr">
        <is>
          <t>3H</t>
        </is>
      </c>
      <c r="H345" t="inlineStr">
        <is>
          <t>3L</t>
        </is>
      </c>
      <c r="I345" t="inlineStr">
        <is>
          <t>3K</t>
        </is>
      </c>
      <c r="J345" t="inlineStr">
        <is>
          <t>ABDEGHKL</t>
        </is>
      </c>
    </row>
    <row r="346">
      <c r="A346" t="n">
        <v>345</v>
      </c>
      <c r="B346" t="inlineStr">
        <is>
          <t>3H</t>
        </is>
      </c>
      <c r="C346" t="inlineStr">
        <is>
          <t>3J</t>
        </is>
      </c>
      <c r="D346" t="inlineStr">
        <is>
          <t>3B</t>
        </is>
      </c>
      <c r="E346" t="inlineStr">
        <is>
          <t>3D</t>
        </is>
      </c>
      <c r="F346" t="inlineStr">
        <is>
          <t>3A</t>
        </is>
      </c>
      <c r="G346" t="inlineStr">
        <is>
          <t>3G</t>
        </is>
      </c>
      <c r="H346" t="inlineStr">
        <is>
          <t>3L</t>
        </is>
      </c>
      <c r="I346" t="inlineStr">
        <is>
          <t>3E</t>
        </is>
      </c>
      <c r="J346" t="inlineStr">
        <is>
          <t>ABDEGHJL</t>
        </is>
      </c>
    </row>
    <row r="347">
      <c r="A347" t="n">
        <v>346</v>
      </c>
      <c r="B347" t="inlineStr">
        <is>
          <t>3H</t>
        </is>
      </c>
      <c r="C347" t="inlineStr">
        <is>
          <t>3J</t>
        </is>
      </c>
      <c r="D347" t="inlineStr">
        <is>
          <t>3B</t>
        </is>
      </c>
      <c r="E347" t="inlineStr">
        <is>
          <t>3D</t>
        </is>
      </c>
      <c r="F347" t="inlineStr">
        <is>
          <t>3A</t>
        </is>
      </c>
      <c r="G347" t="inlineStr">
        <is>
          <t>3G</t>
        </is>
      </c>
      <c r="H347" t="inlineStr">
        <is>
          <t>3E</t>
        </is>
      </c>
      <c r="I347" t="inlineStr">
        <is>
          <t>3K</t>
        </is>
      </c>
      <c r="J347" t="inlineStr">
        <is>
          <t>ABDEGHJK</t>
        </is>
      </c>
    </row>
    <row r="348">
      <c r="A348" t="n">
        <v>347</v>
      </c>
      <c r="B348" t="inlineStr">
        <is>
          <t>3E</t>
        </is>
      </c>
      <c r="C348" t="inlineStr">
        <is>
          <t>3G</t>
        </is>
      </c>
      <c r="D348" t="inlineStr">
        <is>
          <t>3B</t>
        </is>
      </c>
      <c r="E348" t="inlineStr">
        <is>
          <t>3D</t>
        </is>
      </c>
      <c r="F348" t="inlineStr">
        <is>
          <t>3A</t>
        </is>
      </c>
      <c r="G348" t="inlineStr">
        <is>
          <t>3H</t>
        </is>
      </c>
      <c r="H348" t="inlineStr">
        <is>
          <t>3L</t>
        </is>
      </c>
      <c r="I348" t="inlineStr">
        <is>
          <t>3I</t>
        </is>
      </c>
      <c r="J348" t="inlineStr">
        <is>
          <t>ABDEGHIL</t>
        </is>
      </c>
    </row>
    <row r="349">
      <c r="A349" t="n">
        <v>348</v>
      </c>
      <c r="B349" t="inlineStr">
        <is>
          <t>3E</t>
        </is>
      </c>
      <c r="C349" t="inlineStr">
        <is>
          <t>3G</t>
        </is>
      </c>
      <c r="D349" t="inlineStr">
        <is>
          <t>3B</t>
        </is>
      </c>
      <c r="E349" t="inlineStr">
        <is>
          <t>3D</t>
        </is>
      </c>
      <c r="F349" t="inlineStr">
        <is>
          <t>3A</t>
        </is>
      </c>
      <c r="G349" t="inlineStr">
        <is>
          <t>3H</t>
        </is>
      </c>
      <c r="H349" t="inlineStr">
        <is>
          <t>3I</t>
        </is>
      </c>
      <c r="I349" t="inlineStr">
        <is>
          <t>3K</t>
        </is>
      </c>
      <c r="J349" t="inlineStr">
        <is>
          <t>ABDEGHIK</t>
        </is>
      </c>
    </row>
    <row r="350">
      <c r="A350" t="n">
        <v>349</v>
      </c>
      <c r="B350" t="inlineStr">
        <is>
          <t>3H</t>
        </is>
      </c>
      <c r="C350" t="inlineStr">
        <is>
          <t>3J</t>
        </is>
      </c>
      <c r="D350" t="inlineStr">
        <is>
          <t>3B</t>
        </is>
      </c>
      <c r="E350" t="inlineStr">
        <is>
          <t>3D</t>
        </is>
      </c>
      <c r="F350" t="inlineStr">
        <is>
          <t>3A</t>
        </is>
      </c>
      <c r="G350" t="inlineStr">
        <is>
          <t>3G</t>
        </is>
      </c>
      <c r="H350" t="inlineStr">
        <is>
          <t>3E</t>
        </is>
      </c>
      <c r="I350" t="inlineStr">
        <is>
          <t>3I</t>
        </is>
      </c>
      <c r="J350" t="inlineStr">
        <is>
          <t>ABDEGHIJ</t>
        </is>
      </c>
    </row>
    <row r="351">
      <c r="A351" t="n">
        <v>350</v>
      </c>
      <c r="B351" t="inlineStr">
        <is>
          <t>3E</t>
        </is>
      </c>
      <c r="C351" t="inlineStr">
        <is>
          <t>3J</t>
        </is>
      </c>
      <c r="D351" t="inlineStr">
        <is>
          <t>3B</t>
        </is>
      </c>
      <c r="E351" t="inlineStr">
        <is>
          <t>3D</t>
        </is>
      </c>
      <c r="F351" t="inlineStr">
        <is>
          <t>3A</t>
        </is>
      </c>
      <c r="G351" t="inlineStr">
        <is>
          <t>3F</t>
        </is>
      </c>
      <c r="H351" t="inlineStr">
        <is>
          <t>3L</t>
        </is>
      </c>
      <c r="I351" t="inlineStr">
        <is>
          <t>3K</t>
        </is>
      </c>
      <c r="J351" t="inlineStr">
        <is>
          <t>ABDEFJKL</t>
        </is>
      </c>
    </row>
    <row r="352">
      <c r="A352" t="n">
        <v>351</v>
      </c>
      <c r="B352" t="inlineStr">
        <is>
          <t>3E</t>
        </is>
      </c>
      <c r="C352" t="inlineStr">
        <is>
          <t>3I</t>
        </is>
      </c>
      <c r="D352" t="inlineStr">
        <is>
          <t>3B</t>
        </is>
      </c>
      <c r="E352" t="inlineStr">
        <is>
          <t>3D</t>
        </is>
      </c>
      <c r="F352" t="inlineStr">
        <is>
          <t>3A</t>
        </is>
      </c>
      <c r="G352" t="inlineStr">
        <is>
          <t>3F</t>
        </is>
      </c>
      <c r="H352" t="inlineStr">
        <is>
          <t>3L</t>
        </is>
      </c>
      <c r="I352" t="inlineStr">
        <is>
          <t>3K</t>
        </is>
      </c>
      <c r="J352" t="inlineStr">
        <is>
          <t>ABDEFIKL</t>
        </is>
      </c>
    </row>
    <row r="353">
      <c r="A353" t="n">
        <v>352</v>
      </c>
      <c r="B353" t="inlineStr">
        <is>
          <t>3E</t>
        </is>
      </c>
      <c r="C353" t="inlineStr">
        <is>
          <t>3J</t>
        </is>
      </c>
      <c r="D353" t="inlineStr">
        <is>
          <t>3B</t>
        </is>
      </c>
      <c r="E353" t="inlineStr">
        <is>
          <t>3D</t>
        </is>
      </c>
      <c r="F353" t="inlineStr">
        <is>
          <t>3A</t>
        </is>
      </c>
      <c r="G353" t="inlineStr">
        <is>
          <t>3F</t>
        </is>
      </c>
      <c r="H353" t="inlineStr">
        <is>
          <t>3L</t>
        </is>
      </c>
      <c r="I353" t="inlineStr">
        <is>
          <t>3I</t>
        </is>
      </c>
      <c r="J353" t="inlineStr">
        <is>
          <t>ABDEFIJL</t>
        </is>
      </c>
    </row>
    <row r="354">
      <c r="A354" t="n">
        <v>353</v>
      </c>
      <c r="B354" t="inlineStr">
        <is>
          <t>3E</t>
        </is>
      </c>
      <c r="C354" t="inlineStr">
        <is>
          <t>3J</t>
        </is>
      </c>
      <c r="D354" t="inlineStr">
        <is>
          <t>3B</t>
        </is>
      </c>
      <c r="E354" t="inlineStr">
        <is>
          <t>3D</t>
        </is>
      </c>
      <c r="F354" t="inlineStr">
        <is>
          <t>3A</t>
        </is>
      </c>
      <c r="G354" t="inlineStr">
        <is>
          <t>3F</t>
        </is>
      </c>
      <c r="H354" t="inlineStr">
        <is>
          <t>3I</t>
        </is>
      </c>
      <c r="I354" t="inlineStr">
        <is>
          <t>3K</t>
        </is>
      </c>
      <c r="J354" t="inlineStr">
        <is>
          <t>ABDEFIJK</t>
        </is>
      </c>
    </row>
    <row r="355">
      <c r="A355" t="n">
        <v>354</v>
      </c>
      <c r="B355" t="inlineStr">
        <is>
          <t>3H</t>
        </is>
      </c>
      <c r="C355" t="inlineStr">
        <is>
          <t>3E</t>
        </is>
      </c>
      <c r="D355" t="inlineStr">
        <is>
          <t>3B</t>
        </is>
      </c>
      <c r="E355" t="inlineStr">
        <is>
          <t>3D</t>
        </is>
      </c>
      <c r="F355" t="inlineStr">
        <is>
          <t>3A</t>
        </is>
      </c>
      <c r="G355" t="inlineStr">
        <is>
          <t>3F</t>
        </is>
      </c>
      <c r="H355" t="inlineStr">
        <is>
          <t>3L</t>
        </is>
      </c>
      <c r="I355" t="inlineStr">
        <is>
          <t>3K</t>
        </is>
      </c>
      <c r="J355" t="inlineStr">
        <is>
          <t>ABDEFHKL</t>
        </is>
      </c>
    </row>
    <row r="356">
      <c r="A356" t="n">
        <v>355</v>
      </c>
      <c r="B356" t="inlineStr">
        <is>
          <t>3H</t>
        </is>
      </c>
      <c r="C356" t="inlineStr">
        <is>
          <t>3J</t>
        </is>
      </c>
      <c r="D356" t="inlineStr">
        <is>
          <t>3B</t>
        </is>
      </c>
      <c r="E356" t="inlineStr">
        <is>
          <t>3D</t>
        </is>
      </c>
      <c r="F356" t="inlineStr">
        <is>
          <t>3A</t>
        </is>
      </c>
      <c r="G356" t="inlineStr">
        <is>
          <t>3F</t>
        </is>
      </c>
      <c r="H356" t="inlineStr">
        <is>
          <t>3L</t>
        </is>
      </c>
      <c r="I356" t="inlineStr">
        <is>
          <t>3E</t>
        </is>
      </c>
      <c r="J356" t="inlineStr">
        <is>
          <t>ABDEFHJL</t>
        </is>
      </c>
    </row>
    <row r="357">
      <c r="A357" t="n">
        <v>356</v>
      </c>
      <c r="B357" t="inlineStr">
        <is>
          <t>3H</t>
        </is>
      </c>
      <c r="C357" t="inlineStr">
        <is>
          <t>3J</t>
        </is>
      </c>
      <c r="D357" t="inlineStr">
        <is>
          <t>3B</t>
        </is>
      </c>
      <c r="E357" t="inlineStr">
        <is>
          <t>3D</t>
        </is>
      </c>
      <c r="F357" t="inlineStr">
        <is>
          <t>3A</t>
        </is>
      </c>
      <c r="G357" t="inlineStr">
        <is>
          <t>3F</t>
        </is>
      </c>
      <c r="H357" t="inlineStr">
        <is>
          <t>3E</t>
        </is>
      </c>
      <c r="I357" t="inlineStr">
        <is>
          <t>3K</t>
        </is>
      </c>
      <c r="J357" t="inlineStr">
        <is>
          <t>ABDEFHJK</t>
        </is>
      </c>
    </row>
    <row r="358">
      <c r="A358" t="n">
        <v>357</v>
      </c>
      <c r="B358" t="inlineStr">
        <is>
          <t>3H</t>
        </is>
      </c>
      <c r="C358" t="inlineStr">
        <is>
          <t>3E</t>
        </is>
      </c>
      <c r="D358" t="inlineStr">
        <is>
          <t>3B</t>
        </is>
      </c>
      <c r="E358" t="inlineStr">
        <is>
          <t>3D</t>
        </is>
      </c>
      <c r="F358" t="inlineStr">
        <is>
          <t>3A</t>
        </is>
      </c>
      <c r="G358" t="inlineStr">
        <is>
          <t>3F</t>
        </is>
      </c>
      <c r="H358" t="inlineStr">
        <is>
          <t>3L</t>
        </is>
      </c>
      <c r="I358" t="inlineStr">
        <is>
          <t>3I</t>
        </is>
      </c>
      <c r="J358" t="inlineStr">
        <is>
          <t>ABDEFHIL</t>
        </is>
      </c>
    </row>
    <row r="359">
      <c r="A359" t="n">
        <v>358</v>
      </c>
      <c r="B359" t="inlineStr">
        <is>
          <t>3H</t>
        </is>
      </c>
      <c r="C359" t="inlineStr">
        <is>
          <t>3E</t>
        </is>
      </c>
      <c r="D359" t="inlineStr">
        <is>
          <t>3B</t>
        </is>
      </c>
      <c r="E359" t="inlineStr">
        <is>
          <t>3D</t>
        </is>
      </c>
      <c r="F359" t="inlineStr">
        <is>
          <t>3A</t>
        </is>
      </c>
      <c r="G359" t="inlineStr">
        <is>
          <t>3F</t>
        </is>
      </c>
      <c r="H359" t="inlineStr">
        <is>
          <t>3I</t>
        </is>
      </c>
      <c r="I359" t="inlineStr">
        <is>
          <t>3K</t>
        </is>
      </c>
      <c r="J359" t="inlineStr">
        <is>
          <t>ABDEFHIK</t>
        </is>
      </c>
    </row>
    <row r="360">
      <c r="A360" t="n">
        <v>359</v>
      </c>
      <c r="B360" t="inlineStr">
        <is>
          <t>3H</t>
        </is>
      </c>
      <c r="C360" t="inlineStr">
        <is>
          <t>3J</t>
        </is>
      </c>
      <c r="D360" t="inlineStr">
        <is>
          <t>3B</t>
        </is>
      </c>
      <c r="E360" t="inlineStr">
        <is>
          <t>3D</t>
        </is>
      </c>
      <c r="F360" t="inlineStr">
        <is>
          <t>3A</t>
        </is>
      </c>
      <c r="G360" t="inlineStr">
        <is>
          <t>3F</t>
        </is>
      </c>
      <c r="H360" t="inlineStr">
        <is>
          <t>3E</t>
        </is>
      </c>
      <c r="I360" t="inlineStr">
        <is>
          <t>3I</t>
        </is>
      </c>
      <c r="J360" t="inlineStr">
        <is>
          <t>ABDEFHIJ</t>
        </is>
      </c>
    </row>
    <row r="361">
      <c r="A361" t="n">
        <v>360</v>
      </c>
      <c r="B361" t="inlineStr">
        <is>
          <t>3E</t>
        </is>
      </c>
      <c r="C361" t="inlineStr">
        <is>
          <t>3G</t>
        </is>
      </c>
      <c r="D361" t="inlineStr">
        <is>
          <t>3B</t>
        </is>
      </c>
      <c r="E361" t="inlineStr">
        <is>
          <t>3D</t>
        </is>
      </c>
      <c r="F361" t="inlineStr">
        <is>
          <t>3A</t>
        </is>
      </c>
      <c r="G361" t="inlineStr">
        <is>
          <t>3F</t>
        </is>
      </c>
      <c r="H361" t="inlineStr">
        <is>
          <t>3L</t>
        </is>
      </c>
      <c r="I361" t="inlineStr">
        <is>
          <t>3K</t>
        </is>
      </c>
      <c r="J361" t="inlineStr">
        <is>
          <t>ABDEFGKL</t>
        </is>
      </c>
    </row>
    <row r="362">
      <c r="A362" t="n">
        <v>361</v>
      </c>
      <c r="B362" t="inlineStr">
        <is>
          <t>3E</t>
        </is>
      </c>
      <c r="C362" t="inlineStr">
        <is>
          <t>3G</t>
        </is>
      </c>
      <c r="D362" t="inlineStr">
        <is>
          <t>3B</t>
        </is>
      </c>
      <c r="E362" t="inlineStr">
        <is>
          <t>3D</t>
        </is>
      </c>
      <c r="F362" t="inlineStr">
        <is>
          <t>3A</t>
        </is>
      </c>
      <c r="G362" t="inlineStr">
        <is>
          <t>3F</t>
        </is>
      </c>
      <c r="H362" t="inlineStr">
        <is>
          <t>3L</t>
        </is>
      </c>
      <c r="I362" t="inlineStr">
        <is>
          <t>3J</t>
        </is>
      </c>
      <c r="J362" t="inlineStr">
        <is>
          <t>ABDEFGJL</t>
        </is>
      </c>
    </row>
    <row r="363">
      <c r="A363" t="n">
        <v>362</v>
      </c>
      <c r="B363" t="inlineStr">
        <is>
          <t>3E</t>
        </is>
      </c>
      <c r="C363" t="inlineStr">
        <is>
          <t>3G</t>
        </is>
      </c>
      <c r="D363" t="inlineStr">
        <is>
          <t>3B</t>
        </is>
      </c>
      <c r="E363" t="inlineStr">
        <is>
          <t>3D</t>
        </is>
      </c>
      <c r="F363" t="inlineStr">
        <is>
          <t>3A</t>
        </is>
      </c>
      <c r="G363" t="inlineStr">
        <is>
          <t>3F</t>
        </is>
      </c>
      <c r="H363" t="inlineStr">
        <is>
          <t>3J</t>
        </is>
      </c>
      <c r="I363" t="inlineStr">
        <is>
          <t>3K</t>
        </is>
      </c>
      <c r="J363" t="inlineStr">
        <is>
          <t>ABDEFGJK</t>
        </is>
      </c>
    </row>
    <row r="364">
      <c r="A364" t="n">
        <v>363</v>
      </c>
      <c r="B364" t="inlineStr">
        <is>
          <t>3E</t>
        </is>
      </c>
      <c r="C364" t="inlineStr">
        <is>
          <t>3G</t>
        </is>
      </c>
      <c r="D364" t="inlineStr">
        <is>
          <t>3B</t>
        </is>
      </c>
      <c r="E364" t="inlineStr">
        <is>
          <t>3D</t>
        </is>
      </c>
      <c r="F364" t="inlineStr">
        <is>
          <t>3A</t>
        </is>
      </c>
      <c r="G364" t="inlineStr">
        <is>
          <t>3F</t>
        </is>
      </c>
      <c r="H364" t="inlineStr">
        <is>
          <t>3L</t>
        </is>
      </c>
      <c r="I364" t="inlineStr">
        <is>
          <t>3I</t>
        </is>
      </c>
      <c r="J364" t="inlineStr">
        <is>
          <t>ABDEFGIL</t>
        </is>
      </c>
    </row>
    <row r="365">
      <c r="A365" t="n">
        <v>364</v>
      </c>
      <c r="B365" t="inlineStr">
        <is>
          <t>3E</t>
        </is>
      </c>
      <c r="C365" t="inlineStr">
        <is>
          <t>3G</t>
        </is>
      </c>
      <c r="D365" t="inlineStr">
        <is>
          <t>3B</t>
        </is>
      </c>
      <c r="E365" t="inlineStr">
        <is>
          <t>3D</t>
        </is>
      </c>
      <c r="F365" t="inlineStr">
        <is>
          <t>3A</t>
        </is>
      </c>
      <c r="G365" t="inlineStr">
        <is>
          <t>3F</t>
        </is>
      </c>
      <c r="H365" t="inlineStr">
        <is>
          <t>3I</t>
        </is>
      </c>
      <c r="I365" t="inlineStr">
        <is>
          <t>3K</t>
        </is>
      </c>
      <c r="J365" t="inlineStr">
        <is>
          <t>ABDEFGIK</t>
        </is>
      </c>
    </row>
    <row r="366">
      <c r="A366" t="n">
        <v>365</v>
      </c>
      <c r="B366" t="inlineStr">
        <is>
          <t>3E</t>
        </is>
      </c>
      <c r="C366" t="inlineStr">
        <is>
          <t>3G</t>
        </is>
      </c>
      <c r="D366" t="inlineStr">
        <is>
          <t>3B</t>
        </is>
      </c>
      <c r="E366" t="inlineStr">
        <is>
          <t>3D</t>
        </is>
      </c>
      <c r="F366" t="inlineStr">
        <is>
          <t>3A</t>
        </is>
      </c>
      <c r="G366" t="inlineStr">
        <is>
          <t>3F</t>
        </is>
      </c>
      <c r="H366" t="inlineStr">
        <is>
          <t>3I</t>
        </is>
      </c>
      <c r="I366" t="inlineStr">
        <is>
          <t>3J</t>
        </is>
      </c>
      <c r="J366" t="inlineStr">
        <is>
          <t>ABDEFGIJ</t>
        </is>
      </c>
    </row>
    <row r="367">
      <c r="A367" t="n">
        <v>366</v>
      </c>
      <c r="B367" t="inlineStr">
        <is>
          <t>3H</t>
        </is>
      </c>
      <c r="C367" t="inlineStr">
        <is>
          <t>3G</t>
        </is>
      </c>
      <c r="D367" t="inlineStr">
        <is>
          <t>3B</t>
        </is>
      </c>
      <c r="E367" t="inlineStr">
        <is>
          <t>3D</t>
        </is>
      </c>
      <c r="F367" t="inlineStr">
        <is>
          <t>3A</t>
        </is>
      </c>
      <c r="G367" t="inlineStr">
        <is>
          <t>3F</t>
        </is>
      </c>
      <c r="H367" t="inlineStr">
        <is>
          <t>3L</t>
        </is>
      </c>
      <c r="I367" t="inlineStr">
        <is>
          <t>3E</t>
        </is>
      </c>
      <c r="J367" t="inlineStr">
        <is>
          <t>ABDEFGHL</t>
        </is>
      </c>
    </row>
    <row r="368">
      <c r="A368" t="n">
        <v>367</v>
      </c>
      <c r="B368" t="inlineStr">
        <is>
          <t>3H</t>
        </is>
      </c>
      <c r="C368" t="inlineStr">
        <is>
          <t>3G</t>
        </is>
      </c>
      <c r="D368" t="inlineStr">
        <is>
          <t>3B</t>
        </is>
      </c>
      <c r="E368" t="inlineStr">
        <is>
          <t>3D</t>
        </is>
      </c>
      <c r="F368" t="inlineStr">
        <is>
          <t>3A</t>
        </is>
      </c>
      <c r="G368" t="inlineStr">
        <is>
          <t>3F</t>
        </is>
      </c>
      <c r="H368" t="inlineStr">
        <is>
          <t>3E</t>
        </is>
      </c>
      <c r="I368" t="inlineStr">
        <is>
          <t>3K</t>
        </is>
      </c>
      <c r="J368" t="inlineStr">
        <is>
          <t>ABDEFGHK</t>
        </is>
      </c>
    </row>
    <row r="369">
      <c r="A369" t="n">
        <v>368</v>
      </c>
      <c r="B369" t="inlineStr">
        <is>
          <t>3H</t>
        </is>
      </c>
      <c r="C369" t="inlineStr">
        <is>
          <t>3G</t>
        </is>
      </c>
      <c r="D369" t="inlineStr">
        <is>
          <t>3B</t>
        </is>
      </c>
      <c r="E369" t="inlineStr">
        <is>
          <t>3D</t>
        </is>
      </c>
      <c r="F369" t="inlineStr">
        <is>
          <t>3A</t>
        </is>
      </c>
      <c r="G369" t="inlineStr">
        <is>
          <t>3F</t>
        </is>
      </c>
      <c r="H369" t="inlineStr">
        <is>
          <t>3E</t>
        </is>
      </c>
      <c r="I369" t="inlineStr">
        <is>
          <t>3J</t>
        </is>
      </c>
      <c r="J369" t="inlineStr">
        <is>
          <t>ABDEFGHJ</t>
        </is>
      </c>
    </row>
    <row r="370">
      <c r="A370" t="n">
        <v>369</v>
      </c>
      <c r="B370" t="inlineStr">
        <is>
          <t>3H</t>
        </is>
      </c>
      <c r="C370" t="inlineStr">
        <is>
          <t>3G</t>
        </is>
      </c>
      <c r="D370" t="inlineStr">
        <is>
          <t>3B</t>
        </is>
      </c>
      <c r="E370" t="inlineStr">
        <is>
          <t>3D</t>
        </is>
      </c>
      <c r="F370" t="inlineStr">
        <is>
          <t>3A</t>
        </is>
      </c>
      <c r="G370" t="inlineStr">
        <is>
          <t>3F</t>
        </is>
      </c>
      <c r="H370" t="inlineStr">
        <is>
          <t>3E</t>
        </is>
      </c>
      <c r="I370" t="inlineStr">
        <is>
          <t>3I</t>
        </is>
      </c>
      <c r="J370" t="inlineStr">
        <is>
          <t>ABDEFGHI</t>
        </is>
      </c>
    </row>
    <row r="371">
      <c r="A371" t="n">
        <v>370</v>
      </c>
      <c r="B371" t="inlineStr">
        <is>
          <t>3I</t>
        </is>
      </c>
      <c r="C371" t="inlineStr">
        <is>
          <t>3J</t>
        </is>
      </c>
      <c r="D371" t="inlineStr">
        <is>
          <t>3B</t>
        </is>
      </c>
      <c r="E371" t="inlineStr">
        <is>
          <t>3C</t>
        </is>
      </c>
      <c r="F371" t="inlineStr">
        <is>
          <t>3A</t>
        </is>
      </c>
      <c r="G371" t="inlineStr">
        <is>
          <t>3H</t>
        </is>
      </c>
      <c r="H371" t="inlineStr">
        <is>
          <t>3L</t>
        </is>
      </c>
      <c r="I371" t="inlineStr">
        <is>
          <t>3K</t>
        </is>
      </c>
      <c r="J371" t="inlineStr">
        <is>
          <t>ABCHIJKL</t>
        </is>
      </c>
    </row>
    <row r="372">
      <c r="A372" t="n">
        <v>371</v>
      </c>
      <c r="B372" t="inlineStr">
        <is>
          <t>3I</t>
        </is>
      </c>
      <c r="C372" t="inlineStr">
        <is>
          <t>3J</t>
        </is>
      </c>
      <c r="D372" t="inlineStr">
        <is>
          <t>3B</t>
        </is>
      </c>
      <c r="E372" t="inlineStr">
        <is>
          <t>3C</t>
        </is>
      </c>
      <c r="F372" t="inlineStr">
        <is>
          <t>3A</t>
        </is>
      </c>
      <c r="G372" t="inlineStr">
        <is>
          <t>3G</t>
        </is>
      </c>
      <c r="H372" t="inlineStr">
        <is>
          <t>3L</t>
        </is>
      </c>
      <c r="I372" t="inlineStr">
        <is>
          <t>3K</t>
        </is>
      </c>
      <c r="J372" t="inlineStr">
        <is>
          <t>ABCGIJKL</t>
        </is>
      </c>
    </row>
    <row r="373">
      <c r="A373" t="n">
        <v>372</v>
      </c>
      <c r="B373" t="inlineStr">
        <is>
          <t>3H</t>
        </is>
      </c>
      <c r="C373" t="inlineStr">
        <is>
          <t>3J</t>
        </is>
      </c>
      <c r="D373" t="inlineStr">
        <is>
          <t>3B</t>
        </is>
      </c>
      <c r="E373" t="inlineStr">
        <is>
          <t>3C</t>
        </is>
      </c>
      <c r="F373" t="inlineStr">
        <is>
          <t>3A</t>
        </is>
      </c>
      <c r="G373" t="inlineStr">
        <is>
          <t>3G</t>
        </is>
      </c>
      <c r="H373" t="inlineStr">
        <is>
          <t>3L</t>
        </is>
      </c>
      <c r="I373" t="inlineStr">
        <is>
          <t>3K</t>
        </is>
      </c>
      <c r="J373" t="inlineStr">
        <is>
          <t>ABCGHJKL</t>
        </is>
      </c>
    </row>
    <row r="374">
      <c r="A374" t="n">
        <v>373</v>
      </c>
      <c r="B374" t="inlineStr">
        <is>
          <t>3I</t>
        </is>
      </c>
      <c r="C374" t="inlineStr">
        <is>
          <t>3G</t>
        </is>
      </c>
      <c r="D374" t="inlineStr">
        <is>
          <t>3B</t>
        </is>
      </c>
      <c r="E374" t="inlineStr">
        <is>
          <t>3C</t>
        </is>
      </c>
      <c r="F374" t="inlineStr">
        <is>
          <t>3A</t>
        </is>
      </c>
      <c r="G374" t="inlineStr">
        <is>
          <t>3H</t>
        </is>
      </c>
      <c r="H374" t="inlineStr">
        <is>
          <t>3L</t>
        </is>
      </c>
      <c r="I374" t="inlineStr">
        <is>
          <t>3K</t>
        </is>
      </c>
      <c r="J374" t="inlineStr">
        <is>
          <t>ABCGHIKL</t>
        </is>
      </c>
    </row>
    <row r="375">
      <c r="A375" t="n">
        <v>374</v>
      </c>
      <c r="B375" t="inlineStr">
        <is>
          <t>3H</t>
        </is>
      </c>
      <c r="C375" t="inlineStr">
        <is>
          <t>3J</t>
        </is>
      </c>
      <c r="D375" t="inlineStr">
        <is>
          <t>3B</t>
        </is>
      </c>
      <c r="E375" t="inlineStr">
        <is>
          <t>3C</t>
        </is>
      </c>
      <c r="F375" t="inlineStr">
        <is>
          <t>3A</t>
        </is>
      </c>
      <c r="G375" t="inlineStr">
        <is>
          <t>3G</t>
        </is>
      </c>
      <c r="H375" t="inlineStr">
        <is>
          <t>3L</t>
        </is>
      </c>
      <c r="I375" t="inlineStr">
        <is>
          <t>3I</t>
        </is>
      </c>
      <c r="J375" t="inlineStr">
        <is>
          <t>ABCGHIJL</t>
        </is>
      </c>
    </row>
    <row r="376">
      <c r="A376" t="n">
        <v>375</v>
      </c>
      <c r="B376" t="inlineStr">
        <is>
          <t>3H</t>
        </is>
      </c>
      <c r="C376" t="inlineStr">
        <is>
          <t>3J</t>
        </is>
      </c>
      <c r="D376" t="inlineStr">
        <is>
          <t>3B</t>
        </is>
      </c>
      <c r="E376" t="inlineStr">
        <is>
          <t>3C</t>
        </is>
      </c>
      <c r="F376" t="inlineStr">
        <is>
          <t>3A</t>
        </is>
      </c>
      <c r="G376" t="inlineStr">
        <is>
          <t>3G</t>
        </is>
      </c>
      <c r="H376" t="inlineStr">
        <is>
          <t>3I</t>
        </is>
      </c>
      <c r="I376" t="inlineStr">
        <is>
          <t>3K</t>
        </is>
      </c>
      <c r="J376" t="inlineStr">
        <is>
          <t>ABCGHIJK</t>
        </is>
      </c>
    </row>
    <row r="377">
      <c r="A377" t="n">
        <v>376</v>
      </c>
      <c r="B377" t="inlineStr">
        <is>
          <t>3I</t>
        </is>
      </c>
      <c r="C377" t="inlineStr">
        <is>
          <t>3J</t>
        </is>
      </c>
      <c r="D377" t="inlineStr">
        <is>
          <t>3B</t>
        </is>
      </c>
      <c r="E377" t="inlineStr">
        <is>
          <t>3C</t>
        </is>
      </c>
      <c r="F377" t="inlineStr">
        <is>
          <t>3A</t>
        </is>
      </c>
      <c r="G377" t="inlineStr">
        <is>
          <t>3F</t>
        </is>
      </c>
      <c r="H377" t="inlineStr">
        <is>
          <t>3L</t>
        </is>
      </c>
      <c r="I377" t="inlineStr">
        <is>
          <t>3K</t>
        </is>
      </c>
      <c r="J377" t="inlineStr">
        <is>
          <t>ABCFIJKL</t>
        </is>
      </c>
    </row>
    <row r="378">
      <c r="A378" t="n">
        <v>377</v>
      </c>
      <c r="B378" t="inlineStr">
        <is>
          <t>3H</t>
        </is>
      </c>
      <c r="C378" t="inlineStr">
        <is>
          <t>3J</t>
        </is>
      </c>
      <c r="D378" t="inlineStr">
        <is>
          <t>3B</t>
        </is>
      </c>
      <c r="E378" t="inlineStr">
        <is>
          <t>3C</t>
        </is>
      </c>
      <c r="F378" t="inlineStr">
        <is>
          <t>3A</t>
        </is>
      </c>
      <c r="G378" t="inlineStr">
        <is>
          <t>3F</t>
        </is>
      </c>
      <c r="H378" t="inlineStr">
        <is>
          <t>3L</t>
        </is>
      </c>
      <c r="I378" t="inlineStr">
        <is>
          <t>3K</t>
        </is>
      </c>
      <c r="J378" t="inlineStr">
        <is>
          <t>ABCFHJKL</t>
        </is>
      </c>
    </row>
    <row r="379">
      <c r="A379" t="n">
        <v>378</v>
      </c>
      <c r="B379" t="inlineStr">
        <is>
          <t>3H</t>
        </is>
      </c>
      <c r="C379" t="inlineStr">
        <is>
          <t>3I</t>
        </is>
      </c>
      <c r="D379" t="inlineStr">
        <is>
          <t>3B</t>
        </is>
      </c>
      <c r="E379" t="inlineStr">
        <is>
          <t>3C</t>
        </is>
      </c>
      <c r="F379" t="inlineStr">
        <is>
          <t>3A</t>
        </is>
      </c>
      <c r="G379" t="inlineStr">
        <is>
          <t>3F</t>
        </is>
      </c>
      <c r="H379" t="inlineStr">
        <is>
          <t>3L</t>
        </is>
      </c>
      <c r="I379" t="inlineStr">
        <is>
          <t>3K</t>
        </is>
      </c>
      <c r="J379" t="inlineStr">
        <is>
          <t>ABCFHIKL</t>
        </is>
      </c>
    </row>
    <row r="380">
      <c r="A380" t="n">
        <v>379</v>
      </c>
      <c r="B380" t="inlineStr">
        <is>
          <t>3H</t>
        </is>
      </c>
      <c r="C380" t="inlineStr">
        <is>
          <t>3J</t>
        </is>
      </c>
      <c r="D380" t="inlineStr">
        <is>
          <t>3B</t>
        </is>
      </c>
      <c r="E380" t="inlineStr">
        <is>
          <t>3C</t>
        </is>
      </c>
      <c r="F380" t="inlineStr">
        <is>
          <t>3A</t>
        </is>
      </c>
      <c r="G380" t="inlineStr">
        <is>
          <t>3F</t>
        </is>
      </c>
      <c r="H380" t="inlineStr">
        <is>
          <t>3L</t>
        </is>
      </c>
      <c r="I380" t="inlineStr">
        <is>
          <t>3I</t>
        </is>
      </c>
      <c r="J380" t="inlineStr">
        <is>
          <t>ABCFHIJL</t>
        </is>
      </c>
    </row>
    <row r="381">
      <c r="A381" t="n">
        <v>380</v>
      </c>
      <c r="B381" t="inlineStr">
        <is>
          <t>3H</t>
        </is>
      </c>
      <c r="C381" t="inlineStr">
        <is>
          <t>3J</t>
        </is>
      </c>
      <c r="D381" t="inlineStr">
        <is>
          <t>3B</t>
        </is>
      </c>
      <c r="E381" t="inlineStr">
        <is>
          <t>3C</t>
        </is>
      </c>
      <c r="F381" t="inlineStr">
        <is>
          <t>3A</t>
        </is>
      </c>
      <c r="G381" t="inlineStr">
        <is>
          <t>3F</t>
        </is>
      </c>
      <c r="H381" t="inlineStr">
        <is>
          <t>3I</t>
        </is>
      </c>
      <c r="I381" t="inlineStr">
        <is>
          <t>3K</t>
        </is>
      </c>
      <c r="J381" t="inlineStr">
        <is>
          <t>ABCFHIJK</t>
        </is>
      </c>
    </row>
    <row r="382">
      <c r="A382" t="n">
        <v>381</v>
      </c>
      <c r="B382" t="inlineStr">
        <is>
          <t>3C</t>
        </is>
      </c>
      <c r="C382" t="inlineStr">
        <is>
          <t>3J</t>
        </is>
      </c>
      <c r="D382" t="inlineStr">
        <is>
          <t>3B</t>
        </is>
      </c>
      <c r="E382" t="inlineStr">
        <is>
          <t>3F</t>
        </is>
      </c>
      <c r="F382" t="inlineStr">
        <is>
          <t>3A</t>
        </is>
      </c>
      <c r="G382" t="inlineStr">
        <is>
          <t>3G</t>
        </is>
      </c>
      <c r="H382" t="inlineStr">
        <is>
          <t>3L</t>
        </is>
      </c>
      <c r="I382" t="inlineStr">
        <is>
          <t>3K</t>
        </is>
      </c>
      <c r="J382" t="inlineStr">
        <is>
          <t>ABCFGJKL</t>
        </is>
      </c>
    </row>
    <row r="383">
      <c r="A383" t="n">
        <v>382</v>
      </c>
      <c r="B383" t="inlineStr">
        <is>
          <t>3I</t>
        </is>
      </c>
      <c r="C383" t="inlineStr">
        <is>
          <t>3G</t>
        </is>
      </c>
      <c r="D383" t="inlineStr">
        <is>
          <t>3B</t>
        </is>
      </c>
      <c r="E383" t="inlineStr">
        <is>
          <t>3C</t>
        </is>
      </c>
      <c r="F383" t="inlineStr">
        <is>
          <t>3A</t>
        </is>
      </c>
      <c r="G383" t="inlineStr">
        <is>
          <t>3F</t>
        </is>
      </c>
      <c r="H383" t="inlineStr">
        <is>
          <t>3L</t>
        </is>
      </c>
      <c r="I383" t="inlineStr">
        <is>
          <t>3K</t>
        </is>
      </c>
      <c r="J383" t="inlineStr">
        <is>
          <t>ABCFGIKL</t>
        </is>
      </c>
    </row>
    <row r="384">
      <c r="A384" t="n">
        <v>383</v>
      </c>
      <c r="B384" t="inlineStr">
        <is>
          <t>3C</t>
        </is>
      </c>
      <c r="C384" t="inlineStr">
        <is>
          <t>3J</t>
        </is>
      </c>
      <c r="D384" t="inlineStr">
        <is>
          <t>3B</t>
        </is>
      </c>
      <c r="E384" t="inlineStr">
        <is>
          <t>3F</t>
        </is>
      </c>
      <c r="F384" t="inlineStr">
        <is>
          <t>3A</t>
        </is>
      </c>
      <c r="G384" t="inlineStr">
        <is>
          <t>3G</t>
        </is>
      </c>
      <c r="H384" t="inlineStr">
        <is>
          <t>3L</t>
        </is>
      </c>
      <c r="I384" t="inlineStr">
        <is>
          <t>3I</t>
        </is>
      </c>
      <c r="J384" t="inlineStr">
        <is>
          <t>ABCFGIJL</t>
        </is>
      </c>
    </row>
    <row r="385">
      <c r="A385" t="n">
        <v>384</v>
      </c>
      <c r="B385" t="inlineStr">
        <is>
          <t>3C</t>
        </is>
      </c>
      <c r="C385" t="inlineStr">
        <is>
          <t>3J</t>
        </is>
      </c>
      <c r="D385" t="inlineStr">
        <is>
          <t>3B</t>
        </is>
      </c>
      <c r="E385" t="inlineStr">
        <is>
          <t>3F</t>
        </is>
      </c>
      <c r="F385" t="inlineStr">
        <is>
          <t>3A</t>
        </is>
      </c>
      <c r="G385" t="inlineStr">
        <is>
          <t>3G</t>
        </is>
      </c>
      <c r="H385" t="inlineStr">
        <is>
          <t>3I</t>
        </is>
      </c>
      <c r="I385" t="inlineStr">
        <is>
          <t>3K</t>
        </is>
      </c>
      <c r="J385" t="inlineStr">
        <is>
          <t>ABCFGIJK</t>
        </is>
      </c>
    </row>
    <row r="386">
      <c r="A386" t="n">
        <v>385</v>
      </c>
      <c r="B386" t="inlineStr">
        <is>
          <t>3H</t>
        </is>
      </c>
      <c r="C386" t="inlineStr">
        <is>
          <t>3G</t>
        </is>
      </c>
      <c r="D386" t="inlineStr">
        <is>
          <t>3B</t>
        </is>
      </c>
      <c r="E386" t="inlineStr">
        <is>
          <t>3C</t>
        </is>
      </c>
      <c r="F386" t="inlineStr">
        <is>
          <t>3A</t>
        </is>
      </c>
      <c r="G386" t="inlineStr">
        <is>
          <t>3F</t>
        </is>
      </c>
      <c r="H386" t="inlineStr">
        <is>
          <t>3L</t>
        </is>
      </c>
      <c r="I386" t="inlineStr">
        <is>
          <t>3K</t>
        </is>
      </c>
      <c r="J386" t="inlineStr">
        <is>
          <t>ABCFGHKL</t>
        </is>
      </c>
    </row>
    <row r="387">
      <c r="A387" t="n">
        <v>386</v>
      </c>
      <c r="B387" t="inlineStr">
        <is>
          <t>3H</t>
        </is>
      </c>
      <c r="C387" t="inlineStr">
        <is>
          <t>3G</t>
        </is>
      </c>
      <c r="D387" t="inlineStr">
        <is>
          <t>3B</t>
        </is>
      </c>
      <c r="E387" t="inlineStr">
        <is>
          <t>3C</t>
        </is>
      </c>
      <c r="F387" t="inlineStr">
        <is>
          <t>3A</t>
        </is>
      </c>
      <c r="G387" t="inlineStr">
        <is>
          <t>3F</t>
        </is>
      </c>
      <c r="H387" t="inlineStr">
        <is>
          <t>3L</t>
        </is>
      </c>
      <c r="I387" t="inlineStr">
        <is>
          <t>3J</t>
        </is>
      </c>
      <c r="J387" t="inlineStr">
        <is>
          <t>ABCFGHJL</t>
        </is>
      </c>
    </row>
    <row r="388">
      <c r="A388" t="n">
        <v>387</v>
      </c>
      <c r="B388" t="inlineStr">
        <is>
          <t>3H</t>
        </is>
      </c>
      <c r="C388" t="inlineStr">
        <is>
          <t>3G</t>
        </is>
      </c>
      <c r="D388" t="inlineStr">
        <is>
          <t>3B</t>
        </is>
      </c>
      <c r="E388" t="inlineStr">
        <is>
          <t>3C</t>
        </is>
      </c>
      <c r="F388" t="inlineStr">
        <is>
          <t>3A</t>
        </is>
      </c>
      <c r="G388" t="inlineStr">
        <is>
          <t>3F</t>
        </is>
      </c>
      <c r="H388" t="inlineStr">
        <is>
          <t>3J</t>
        </is>
      </c>
      <c r="I388" t="inlineStr">
        <is>
          <t>3K</t>
        </is>
      </c>
      <c r="J388" t="inlineStr">
        <is>
          <t>ABCFGHJK</t>
        </is>
      </c>
    </row>
    <row r="389">
      <c r="A389" t="n">
        <v>388</v>
      </c>
      <c r="B389" t="inlineStr">
        <is>
          <t>3H</t>
        </is>
      </c>
      <c r="C389" t="inlineStr">
        <is>
          <t>3G</t>
        </is>
      </c>
      <c r="D389" t="inlineStr">
        <is>
          <t>3B</t>
        </is>
      </c>
      <c r="E389" t="inlineStr">
        <is>
          <t>3C</t>
        </is>
      </c>
      <c r="F389" t="inlineStr">
        <is>
          <t>3A</t>
        </is>
      </c>
      <c r="G389" t="inlineStr">
        <is>
          <t>3F</t>
        </is>
      </c>
      <c r="H389" t="inlineStr">
        <is>
          <t>3L</t>
        </is>
      </c>
      <c r="I389" t="inlineStr">
        <is>
          <t>3I</t>
        </is>
      </c>
      <c r="J389" t="inlineStr">
        <is>
          <t>ABCFGHIL</t>
        </is>
      </c>
    </row>
    <row r="390">
      <c r="A390" t="n">
        <v>389</v>
      </c>
      <c r="B390" t="inlineStr">
        <is>
          <t>3H</t>
        </is>
      </c>
      <c r="C390" t="inlineStr">
        <is>
          <t>3G</t>
        </is>
      </c>
      <c r="D390" t="inlineStr">
        <is>
          <t>3B</t>
        </is>
      </c>
      <c r="E390" t="inlineStr">
        <is>
          <t>3C</t>
        </is>
      </c>
      <c r="F390" t="inlineStr">
        <is>
          <t>3A</t>
        </is>
      </c>
      <c r="G390" t="inlineStr">
        <is>
          <t>3F</t>
        </is>
      </c>
      <c r="H390" t="inlineStr">
        <is>
          <t>3I</t>
        </is>
      </c>
      <c r="I390" t="inlineStr">
        <is>
          <t>3K</t>
        </is>
      </c>
      <c r="J390" t="inlineStr">
        <is>
          <t>ABCFGHIK</t>
        </is>
      </c>
    </row>
    <row r="391">
      <c r="A391" t="n">
        <v>390</v>
      </c>
      <c r="B391" t="inlineStr">
        <is>
          <t>3H</t>
        </is>
      </c>
      <c r="C391" t="inlineStr">
        <is>
          <t>3G</t>
        </is>
      </c>
      <c r="D391" t="inlineStr">
        <is>
          <t>3B</t>
        </is>
      </c>
      <c r="E391" t="inlineStr">
        <is>
          <t>3C</t>
        </is>
      </c>
      <c r="F391" t="inlineStr">
        <is>
          <t>3A</t>
        </is>
      </c>
      <c r="G391" t="inlineStr">
        <is>
          <t>3F</t>
        </is>
      </c>
      <c r="H391" t="inlineStr">
        <is>
          <t>3I</t>
        </is>
      </c>
      <c r="I391" t="inlineStr">
        <is>
          <t>3J</t>
        </is>
      </c>
      <c r="J391" t="inlineStr">
        <is>
          <t>ABCFGHIJ</t>
        </is>
      </c>
    </row>
    <row r="392">
      <c r="A392" t="n">
        <v>391</v>
      </c>
      <c r="B392" t="inlineStr">
        <is>
          <t>3E</t>
        </is>
      </c>
      <c r="C392" t="inlineStr">
        <is>
          <t>3J</t>
        </is>
      </c>
      <c r="D392" t="inlineStr">
        <is>
          <t>3B</t>
        </is>
      </c>
      <c r="E392" t="inlineStr">
        <is>
          <t>3A</t>
        </is>
      </c>
      <c r="F392" t="inlineStr">
        <is>
          <t>3I</t>
        </is>
      </c>
      <c r="G392" t="inlineStr">
        <is>
          <t>3C</t>
        </is>
      </c>
      <c r="H392" t="inlineStr">
        <is>
          <t>3L</t>
        </is>
      </c>
      <c r="I392" t="inlineStr">
        <is>
          <t>3K</t>
        </is>
      </c>
      <c r="J392" t="inlineStr">
        <is>
          <t>ABCEIJKL</t>
        </is>
      </c>
    </row>
    <row r="393">
      <c r="A393" t="n">
        <v>392</v>
      </c>
      <c r="B393" t="inlineStr">
        <is>
          <t>3E</t>
        </is>
      </c>
      <c r="C393" t="inlineStr">
        <is>
          <t>3J</t>
        </is>
      </c>
      <c r="D393" t="inlineStr">
        <is>
          <t>3B</t>
        </is>
      </c>
      <c r="E393" t="inlineStr">
        <is>
          <t>3C</t>
        </is>
      </c>
      <c r="F393" t="inlineStr">
        <is>
          <t>3A</t>
        </is>
      </c>
      <c r="G393" t="inlineStr">
        <is>
          <t>3H</t>
        </is>
      </c>
      <c r="H393" t="inlineStr">
        <is>
          <t>3L</t>
        </is>
      </c>
      <c r="I393" t="inlineStr">
        <is>
          <t>3K</t>
        </is>
      </c>
      <c r="J393" t="inlineStr">
        <is>
          <t>ABCEHJKL</t>
        </is>
      </c>
    </row>
    <row r="394">
      <c r="A394" t="n">
        <v>393</v>
      </c>
      <c r="B394" t="inlineStr">
        <is>
          <t>3E</t>
        </is>
      </c>
      <c r="C394" t="inlineStr">
        <is>
          <t>3I</t>
        </is>
      </c>
      <c r="D394" t="inlineStr">
        <is>
          <t>3B</t>
        </is>
      </c>
      <c r="E394" t="inlineStr">
        <is>
          <t>3C</t>
        </is>
      </c>
      <c r="F394" t="inlineStr">
        <is>
          <t>3A</t>
        </is>
      </c>
      <c r="G394" t="inlineStr">
        <is>
          <t>3H</t>
        </is>
      </c>
      <c r="H394" t="inlineStr">
        <is>
          <t>3L</t>
        </is>
      </c>
      <c r="I394" t="inlineStr">
        <is>
          <t>3K</t>
        </is>
      </c>
      <c r="J394" t="inlineStr">
        <is>
          <t>ABCEHIKL</t>
        </is>
      </c>
    </row>
    <row r="395">
      <c r="A395" t="n">
        <v>394</v>
      </c>
      <c r="B395" t="inlineStr">
        <is>
          <t>3E</t>
        </is>
      </c>
      <c r="C395" t="inlineStr">
        <is>
          <t>3J</t>
        </is>
      </c>
      <c r="D395" t="inlineStr">
        <is>
          <t>3B</t>
        </is>
      </c>
      <c r="E395" t="inlineStr">
        <is>
          <t>3C</t>
        </is>
      </c>
      <c r="F395" t="inlineStr">
        <is>
          <t>3A</t>
        </is>
      </c>
      <c r="G395" t="inlineStr">
        <is>
          <t>3H</t>
        </is>
      </c>
      <c r="H395" t="inlineStr">
        <is>
          <t>3L</t>
        </is>
      </c>
      <c r="I395" t="inlineStr">
        <is>
          <t>3I</t>
        </is>
      </c>
      <c r="J395" t="inlineStr">
        <is>
          <t>ABCEHIJL</t>
        </is>
      </c>
    </row>
    <row r="396">
      <c r="A396" t="n">
        <v>395</v>
      </c>
      <c r="B396" t="inlineStr">
        <is>
          <t>3E</t>
        </is>
      </c>
      <c r="C396" t="inlineStr">
        <is>
          <t>3J</t>
        </is>
      </c>
      <c r="D396" t="inlineStr">
        <is>
          <t>3B</t>
        </is>
      </c>
      <c r="E396" t="inlineStr">
        <is>
          <t>3C</t>
        </is>
      </c>
      <c r="F396" t="inlineStr">
        <is>
          <t>3A</t>
        </is>
      </c>
      <c r="G396" t="inlineStr">
        <is>
          <t>3H</t>
        </is>
      </c>
      <c r="H396" t="inlineStr">
        <is>
          <t>3I</t>
        </is>
      </c>
      <c r="I396" t="inlineStr">
        <is>
          <t>3K</t>
        </is>
      </c>
      <c r="J396" t="inlineStr">
        <is>
          <t>ABCEHIJK</t>
        </is>
      </c>
    </row>
    <row r="397">
      <c r="A397" t="n">
        <v>396</v>
      </c>
      <c r="B397" t="inlineStr">
        <is>
          <t>3E</t>
        </is>
      </c>
      <c r="C397" t="inlineStr">
        <is>
          <t>3J</t>
        </is>
      </c>
      <c r="D397" t="inlineStr">
        <is>
          <t>3B</t>
        </is>
      </c>
      <c r="E397" t="inlineStr">
        <is>
          <t>3C</t>
        </is>
      </c>
      <c r="F397" t="inlineStr">
        <is>
          <t>3A</t>
        </is>
      </c>
      <c r="G397" t="inlineStr">
        <is>
          <t>3G</t>
        </is>
      </c>
      <c r="H397" t="inlineStr">
        <is>
          <t>3L</t>
        </is>
      </c>
      <c r="I397" t="inlineStr">
        <is>
          <t>3K</t>
        </is>
      </c>
      <c r="J397" t="inlineStr">
        <is>
          <t>ABCEGJKL</t>
        </is>
      </c>
    </row>
    <row r="398">
      <c r="A398" t="n">
        <v>397</v>
      </c>
      <c r="B398" t="inlineStr">
        <is>
          <t>3E</t>
        </is>
      </c>
      <c r="C398" t="inlineStr">
        <is>
          <t>3G</t>
        </is>
      </c>
      <c r="D398" t="inlineStr">
        <is>
          <t>3B</t>
        </is>
      </c>
      <c r="E398" t="inlineStr">
        <is>
          <t>3A</t>
        </is>
      </c>
      <c r="F398" t="inlineStr">
        <is>
          <t>3I</t>
        </is>
      </c>
      <c r="G398" t="inlineStr">
        <is>
          <t>3C</t>
        </is>
      </c>
      <c r="H398" t="inlineStr">
        <is>
          <t>3L</t>
        </is>
      </c>
      <c r="I398" t="inlineStr">
        <is>
          <t>3K</t>
        </is>
      </c>
      <c r="J398" t="inlineStr">
        <is>
          <t>ABCEGIKL</t>
        </is>
      </c>
    </row>
    <row r="399">
      <c r="A399" t="n">
        <v>398</v>
      </c>
      <c r="B399" t="inlineStr">
        <is>
          <t>3E</t>
        </is>
      </c>
      <c r="C399" t="inlineStr">
        <is>
          <t>3J</t>
        </is>
      </c>
      <c r="D399" t="inlineStr">
        <is>
          <t>3B</t>
        </is>
      </c>
      <c r="E399" t="inlineStr">
        <is>
          <t>3C</t>
        </is>
      </c>
      <c r="F399" t="inlineStr">
        <is>
          <t>3A</t>
        </is>
      </c>
      <c r="G399" t="inlineStr">
        <is>
          <t>3G</t>
        </is>
      </c>
      <c r="H399" t="inlineStr">
        <is>
          <t>3L</t>
        </is>
      </c>
      <c r="I399" t="inlineStr">
        <is>
          <t>3I</t>
        </is>
      </c>
      <c r="J399" t="inlineStr">
        <is>
          <t>ABCEGIJL</t>
        </is>
      </c>
    </row>
    <row r="400">
      <c r="A400" t="n">
        <v>399</v>
      </c>
      <c r="B400" t="inlineStr">
        <is>
          <t>3E</t>
        </is>
      </c>
      <c r="C400" t="inlineStr">
        <is>
          <t>3J</t>
        </is>
      </c>
      <c r="D400" t="inlineStr">
        <is>
          <t>3B</t>
        </is>
      </c>
      <c r="E400" t="inlineStr">
        <is>
          <t>3C</t>
        </is>
      </c>
      <c r="F400" t="inlineStr">
        <is>
          <t>3A</t>
        </is>
      </c>
      <c r="G400" t="inlineStr">
        <is>
          <t>3G</t>
        </is>
      </c>
      <c r="H400" t="inlineStr">
        <is>
          <t>3I</t>
        </is>
      </c>
      <c r="I400" t="inlineStr">
        <is>
          <t>3K</t>
        </is>
      </c>
      <c r="J400" t="inlineStr">
        <is>
          <t>ABCEGIJK</t>
        </is>
      </c>
    </row>
    <row r="401">
      <c r="A401" t="n">
        <v>400</v>
      </c>
      <c r="B401" t="inlineStr">
        <is>
          <t>3E</t>
        </is>
      </c>
      <c r="C401" t="inlineStr">
        <is>
          <t>3G</t>
        </is>
      </c>
      <c r="D401" t="inlineStr">
        <is>
          <t>3B</t>
        </is>
      </c>
      <c r="E401" t="inlineStr">
        <is>
          <t>3C</t>
        </is>
      </c>
      <c r="F401" t="inlineStr">
        <is>
          <t>3A</t>
        </is>
      </c>
      <c r="G401" t="inlineStr">
        <is>
          <t>3H</t>
        </is>
      </c>
      <c r="H401" t="inlineStr">
        <is>
          <t>3L</t>
        </is>
      </c>
      <c r="I401" t="inlineStr">
        <is>
          <t>3K</t>
        </is>
      </c>
      <c r="J401" t="inlineStr">
        <is>
          <t>ABCEGHKL</t>
        </is>
      </c>
    </row>
    <row r="402">
      <c r="A402" t="n">
        <v>401</v>
      </c>
      <c r="B402" t="inlineStr">
        <is>
          <t>3H</t>
        </is>
      </c>
      <c r="C402" t="inlineStr">
        <is>
          <t>3J</t>
        </is>
      </c>
      <c r="D402" t="inlineStr">
        <is>
          <t>3B</t>
        </is>
      </c>
      <c r="E402" t="inlineStr">
        <is>
          <t>3C</t>
        </is>
      </c>
      <c r="F402" t="inlineStr">
        <is>
          <t>3A</t>
        </is>
      </c>
      <c r="G402" t="inlineStr">
        <is>
          <t>3G</t>
        </is>
      </c>
      <c r="H402" t="inlineStr">
        <is>
          <t>3L</t>
        </is>
      </c>
      <c r="I402" t="inlineStr">
        <is>
          <t>3E</t>
        </is>
      </c>
      <c r="J402" t="inlineStr">
        <is>
          <t>ABCEGHJL</t>
        </is>
      </c>
    </row>
    <row r="403">
      <c r="A403" t="n">
        <v>402</v>
      </c>
      <c r="B403" t="inlineStr">
        <is>
          <t>3H</t>
        </is>
      </c>
      <c r="C403" t="inlineStr">
        <is>
          <t>3J</t>
        </is>
      </c>
      <c r="D403" t="inlineStr">
        <is>
          <t>3B</t>
        </is>
      </c>
      <c r="E403" t="inlineStr">
        <is>
          <t>3C</t>
        </is>
      </c>
      <c r="F403" t="inlineStr">
        <is>
          <t>3A</t>
        </is>
      </c>
      <c r="G403" t="inlineStr">
        <is>
          <t>3G</t>
        </is>
      </c>
      <c r="H403" t="inlineStr">
        <is>
          <t>3E</t>
        </is>
      </c>
      <c r="I403" t="inlineStr">
        <is>
          <t>3K</t>
        </is>
      </c>
      <c r="J403" t="inlineStr">
        <is>
          <t>ABCEGHJK</t>
        </is>
      </c>
    </row>
    <row r="404">
      <c r="A404" t="n">
        <v>403</v>
      </c>
      <c r="B404" t="inlineStr">
        <is>
          <t>3E</t>
        </is>
      </c>
      <c r="C404" t="inlineStr">
        <is>
          <t>3G</t>
        </is>
      </c>
      <c r="D404" t="inlineStr">
        <is>
          <t>3B</t>
        </is>
      </c>
      <c r="E404" t="inlineStr">
        <is>
          <t>3C</t>
        </is>
      </c>
      <c r="F404" t="inlineStr">
        <is>
          <t>3A</t>
        </is>
      </c>
      <c r="G404" t="inlineStr">
        <is>
          <t>3H</t>
        </is>
      </c>
      <c r="H404" t="inlineStr">
        <is>
          <t>3L</t>
        </is>
      </c>
      <c r="I404" t="inlineStr">
        <is>
          <t>3I</t>
        </is>
      </c>
      <c r="J404" t="inlineStr">
        <is>
          <t>ABCEGHIL</t>
        </is>
      </c>
    </row>
    <row r="405">
      <c r="A405" t="n">
        <v>404</v>
      </c>
      <c r="B405" t="inlineStr">
        <is>
          <t>3E</t>
        </is>
      </c>
      <c r="C405" t="inlineStr">
        <is>
          <t>3G</t>
        </is>
      </c>
      <c r="D405" t="inlineStr">
        <is>
          <t>3B</t>
        </is>
      </c>
      <c r="E405" t="inlineStr">
        <is>
          <t>3C</t>
        </is>
      </c>
      <c r="F405" t="inlineStr">
        <is>
          <t>3A</t>
        </is>
      </c>
      <c r="G405" t="inlineStr">
        <is>
          <t>3H</t>
        </is>
      </c>
      <c r="H405" t="inlineStr">
        <is>
          <t>3I</t>
        </is>
      </c>
      <c r="I405" t="inlineStr">
        <is>
          <t>3K</t>
        </is>
      </c>
      <c r="J405" t="inlineStr">
        <is>
          <t>ABCEGHIK</t>
        </is>
      </c>
    </row>
    <row r="406">
      <c r="A406" t="n">
        <v>405</v>
      </c>
      <c r="B406" t="inlineStr">
        <is>
          <t>3H</t>
        </is>
      </c>
      <c r="C406" t="inlineStr">
        <is>
          <t>3J</t>
        </is>
      </c>
      <c r="D406" t="inlineStr">
        <is>
          <t>3B</t>
        </is>
      </c>
      <c r="E406" t="inlineStr">
        <is>
          <t>3C</t>
        </is>
      </c>
      <c r="F406" t="inlineStr">
        <is>
          <t>3A</t>
        </is>
      </c>
      <c r="G406" t="inlineStr">
        <is>
          <t>3G</t>
        </is>
      </c>
      <c r="H406" t="inlineStr">
        <is>
          <t>3E</t>
        </is>
      </c>
      <c r="I406" t="inlineStr">
        <is>
          <t>3I</t>
        </is>
      </c>
      <c r="J406" t="inlineStr">
        <is>
          <t>ABCEGHIJ</t>
        </is>
      </c>
    </row>
    <row r="407">
      <c r="A407" t="n">
        <v>406</v>
      </c>
      <c r="B407" t="inlineStr">
        <is>
          <t>3E</t>
        </is>
      </c>
      <c r="C407" t="inlineStr">
        <is>
          <t>3J</t>
        </is>
      </c>
      <c r="D407" t="inlineStr">
        <is>
          <t>3B</t>
        </is>
      </c>
      <c r="E407" t="inlineStr">
        <is>
          <t>3C</t>
        </is>
      </c>
      <c r="F407" t="inlineStr">
        <is>
          <t>3A</t>
        </is>
      </c>
      <c r="G407" t="inlineStr">
        <is>
          <t>3F</t>
        </is>
      </c>
      <c r="H407" t="inlineStr">
        <is>
          <t>3L</t>
        </is>
      </c>
      <c r="I407" t="inlineStr">
        <is>
          <t>3K</t>
        </is>
      </c>
      <c r="J407" t="inlineStr">
        <is>
          <t>ABCEFJKL</t>
        </is>
      </c>
    </row>
    <row r="408">
      <c r="A408" t="n">
        <v>407</v>
      </c>
      <c r="B408" t="inlineStr">
        <is>
          <t>3E</t>
        </is>
      </c>
      <c r="C408" t="inlineStr">
        <is>
          <t>3I</t>
        </is>
      </c>
      <c r="D408" t="inlineStr">
        <is>
          <t>3B</t>
        </is>
      </c>
      <c r="E408" t="inlineStr">
        <is>
          <t>3C</t>
        </is>
      </c>
      <c r="F408" t="inlineStr">
        <is>
          <t>3A</t>
        </is>
      </c>
      <c r="G408" t="inlineStr">
        <is>
          <t>3F</t>
        </is>
      </c>
      <c r="H408" t="inlineStr">
        <is>
          <t>3L</t>
        </is>
      </c>
      <c r="I408" t="inlineStr">
        <is>
          <t>3K</t>
        </is>
      </c>
      <c r="J408" t="inlineStr">
        <is>
          <t>ABCEFIKL</t>
        </is>
      </c>
    </row>
    <row r="409">
      <c r="A409" t="n">
        <v>408</v>
      </c>
      <c r="B409" t="inlineStr">
        <is>
          <t>3E</t>
        </is>
      </c>
      <c r="C409" t="inlineStr">
        <is>
          <t>3J</t>
        </is>
      </c>
      <c r="D409" t="inlineStr">
        <is>
          <t>3B</t>
        </is>
      </c>
      <c r="E409" t="inlineStr">
        <is>
          <t>3C</t>
        </is>
      </c>
      <c r="F409" t="inlineStr">
        <is>
          <t>3A</t>
        </is>
      </c>
      <c r="G409" t="inlineStr">
        <is>
          <t>3F</t>
        </is>
      </c>
      <c r="H409" t="inlineStr">
        <is>
          <t>3L</t>
        </is>
      </c>
      <c r="I409" t="inlineStr">
        <is>
          <t>3I</t>
        </is>
      </c>
      <c r="J409" t="inlineStr">
        <is>
          <t>ABCEFIJL</t>
        </is>
      </c>
    </row>
    <row r="410">
      <c r="A410" t="n">
        <v>409</v>
      </c>
      <c r="B410" t="inlineStr">
        <is>
          <t>3E</t>
        </is>
      </c>
      <c r="C410" t="inlineStr">
        <is>
          <t>3J</t>
        </is>
      </c>
      <c r="D410" t="inlineStr">
        <is>
          <t>3B</t>
        </is>
      </c>
      <c r="E410" t="inlineStr">
        <is>
          <t>3C</t>
        </is>
      </c>
      <c r="F410" t="inlineStr">
        <is>
          <t>3A</t>
        </is>
      </c>
      <c r="G410" t="inlineStr">
        <is>
          <t>3F</t>
        </is>
      </c>
      <c r="H410" t="inlineStr">
        <is>
          <t>3I</t>
        </is>
      </c>
      <c r="I410" t="inlineStr">
        <is>
          <t>3K</t>
        </is>
      </c>
      <c r="J410" t="inlineStr">
        <is>
          <t>ABCEFIJK</t>
        </is>
      </c>
    </row>
    <row r="411">
      <c r="A411" t="n">
        <v>410</v>
      </c>
      <c r="B411" t="inlineStr">
        <is>
          <t>3H</t>
        </is>
      </c>
      <c r="C411" t="inlineStr">
        <is>
          <t>3E</t>
        </is>
      </c>
      <c r="D411" t="inlineStr">
        <is>
          <t>3B</t>
        </is>
      </c>
      <c r="E411" t="inlineStr">
        <is>
          <t>3C</t>
        </is>
      </c>
      <c r="F411" t="inlineStr">
        <is>
          <t>3A</t>
        </is>
      </c>
      <c r="G411" t="inlineStr">
        <is>
          <t>3F</t>
        </is>
      </c>
      <c r="H411" t="inlineStr">
        <is>
          <t>3L</t>
        </is>
      </c>
      <c r="I411" t="inlineStr">
        <is>
          <t>3K</t>
        </is>
      </c>
      <c r="J411" t="inlineStr">
        <is>
          <t>ABCEFHKL</t>
        </is>
      </c>
    </row>
    <row r="412">
      <c r="A412" t="n">
        <v>411</v>
      </c>
      <c r="B412" t="inlineStr">
        <is>
          <t>3H</t>
        </is>
      </c>
      <c r="C412" t="inlineStr">
        <is>
          <t>3J</t>
        </is>
      </c>
      <c r="D412" t="inlineStr">
        <is>
          <t>3B</t>
        </is>
      </c>
      <c r="E412" t="inlineStr">
        <is>
          <t>3C</t>
        </is>
      </c>
      <c r="F412" t="inlineStr">
        <is>
          <t>3A</t>
        </is>
      </c>
      <c r="G412" t="inlineStr">
        <is>
          <t>3F</t>
        </is>
      </c>
      <c r="H412" t="inlineStr">
        <is>
          <t>3L</t>
        </is>
      </c>
      <c r="I412" t="inlineStr">
        <is>
          <t>3E</t>
        </is>
      </c>
      <c r="J412" t="inlineStr">
        <is>
          <t>ABCEFHJL</t>
        </is>
      </c>
    </row>
    <row r="413">
      <c r="A413" t="n">
        <v>412</v>
      </c>
      <c r="B413" t="inlineStr">
        <is>
          <t>3H</t>
        </is>
      </c>
      <c r="C413" t="inlineStr">
        <is>
          <t>3J</t>
        </is>
      </c>
      <c r="D413" t="inlineStr">
        <is>
          <t>3B</t>
        </is>
      </c>
      <c r="E413" t="inlineStr">
        <is>
          <t>3C</t>
        </is>
      </c>
      <c r="F413" t="inlineStr">
        <is>
          <t>3A</t>
        </is>
      </c>
      <c r="G413" t="inlineStr">
        <is>
          <t>3F</t>
        </is>
      </c>
      <c r="H413" t="inlineStr">
        <is>
          <t>3E</t>
        </is>
      </c>
      <c r="I413" t="inlineStr">
        <is>
          <t>3K</t>
        </is>
      </c>
      <c r="J413" t="inlineStr">
        <is>
          <t>ABCEFHJK</t>
        </is>
      </c>
    </row>
    <row r="414">
      <c r="A414" t="n">
        <v>413</v>
      </c>
      <c r="B414" t="inlineStr">
        <is>
          <t>3H</t>
        </is>
      </c>
      <c r="C414" t="inlineStr">
        <is>
          <t>3E</t>
        </is>
      </c>
      <c r="D414" t="inlineStr">
        <is>
          <t>3B</t>
        </is>
      </c>
      <c r="E414" t="inlineStr">
        <is>
          <t>3C</t>
        </is>
      </c>
      <c r="F414" t="inlineStr">
        <is>
          <t>3A</t>
        </is>
      </c>
      <c r="G414" t="inlineStr">
        <is>
          <t>3F</t>
        </is>
      </c>
      <c r="H414" t="inlineStr">
        <is>
          <t>3L</t>
        </is>
      </c>
      <c r="I414" t="inlineStr">
        <is>
          <t>3I</t>
        </is>
      </c>
      <c r="J414" t="inlineStr">
        <is>
          <t>ABCEFHIL</t>
        </is>
      </c>
    </row>
    <row r="415">
      <c r="A415" t="n">
        <v>414</v>
      </c>
      <c r="B415" t="inlineStr">
        <is>
          <t>3H</t>
        </is>
      </c>
      <c r="C415" t="inlineStr">
        <is>
          <t>3E</t>
        </is>
      </c>
      <c r="D415" t="inlineStr">
        <is>
          <t>3B</t>
        </is>
      </c>
      <c r="E415" t="inlineStr">
        <is>
          <t>3C</t>
        </is>
      </c>
      <c r="F415" t="inlineStr">
        <is>
          <t>3A</t>
        </is>
      </c>
      <c r="G415" t="inlineStr">
        <is>
          <t>3F</t>
        </is>
      </c>
      <c r="H415" t="inlineStr">
        <is>
          <t>3I</t>
        </is>
      </c>
      <c r="I415" t="inlineStr">
        <is>
          <t>3K</t>
        </is>
      </c>
      <c r="J415" t="inlineStr">
        <is>
          <t>ABCEFHIK</t>
        </is>
      </c>
    </row>
    <row r="416">
      <c r="A416" t="n">
        <v>415</v>
      </c>
      <c r="B416" t="inlineStr">
        <is>
          <t>3H</t>
        </is>
      </c>
      <c r="C416" t="inlineStr">
        <is>
          <t>3J</t>
        </is>
      </c>
      <c r="D416" t="inlineStr">
        <is>
          <t>3B</t>
        </is>
      </c>
      <c r="E416" t="inlineStr">
        <is>
          <t>3C</t>
        </is>
      </c>
      <c r="F416" t="inlineStr">
        <is>
          <t>3A</t>
        </is>
      </c>
      <c r="G416" t="inlineStr">
        <is>
          <t>3F</t>
        </is>
      </c>
      <c r="H416" t="inlineStr">
        <is>
          <t>3E</t>
        </is>
      </c>
      <c r="I416" t="inlineStr">
        <is>
          <t>3I</t>
        </is>
      </c>
      <c r="J416" t="inlineStr">
        <is>
          <t>ABCEFHIJ</t>
        </is>
      </c>
    </row>
    <row r="417">
      <c r="A417" t="n">
        <v>416</v>
      </c>
      <c r="B417" t="inlineStr">
        <is>
          <t>3E</t>
        </is>
      </c>
      <c r="C417" t="inlineStr">
        <is>
          <t>3G</t>
        </is>
      </c>
      <c r="D417" t="inlineStr">
        <is>
          <t>3B</t>
        </is>
      </c>
      <c r="E417" t="inlineStr">
        <is>
          <t>3C</t>
        </is>
      </c>
      <c r="F417" t="inlineStr">
        <is>
          <t>3A</t>
        </is>
      </c>
      <c r="G417" t="inlineStr">
        <is>
          <t>3F</t>
        </is>
      </c>
      <c r="H417" t="inlineStr">
        <is>
          <t>3L</t>
        </is>
      </c>
      <c r="I417" t="inlineStr">
        <is>
          <t>3K</t>
        </is>
      </c>
      <c r="J417" t="inlineStr">
        <is>
          <t>ABCEFGKL</t>
        </is>
      </c>
    </row>
    <row r="418">
      <c r="A418" t="n">
        <v>417</v>
      </c>
      <c r="B418" t="inlineStr">
        <is>
          <t>3E</t>
        </is>
      </c>
      <c r="C418" t="inlineStr">
        <is>
          <t>3G</t>
        </is>
      </c>
      <c r="D418" t="inlineStr">
        <is>
          <t>3B</t>
        </is>
      </c>
      <c r="E418" t="inlineStr">
        <is>
          <t>3C</t>
        </is>
      </c>
      <c r="F418" t="inlineStr">
        <is>
          <t>3A</t>
        </is>
      </c>
      <c r="G418" t="inlineStr">
        <is>
          <t>3F</t>
        </is>
      </c>
      <c r="H418" t="inlineStr">
        <is>
          <t>3L</t>
        </is>
      </c>
      <c r="I418" t="inlineStr">
        <is>
          <t>3J</t>
        </is>
      </c>
      <c r="J418" t="inlineStr">
        <is>
          <t>ABCEFGJL</t>
        </is>
      </c>
    </row>
    <row r="419">
      <c r="A419" t="n">
        <v>418</v>
      </c>
      <c r="B419" t="inlineStr">
        <is>
          <t>3E</t>
        </is>
      </c>
      <c r="C419" t="inlineStr">
        <is>
          <t>3G</t>
        </is>
      </c>
      <c r="D419" t="inlineStr">
        <is>
          <t>3B</t>
        </is>
      </c>
      <c r="E419" t="inlineStr">
        <is>
          <t>3C</t>
        </is>
      </c>
      <c r="F419" t="inlineStr">
        <is>
          <t>3A</t>
        </is>
      </c>
      <c r="G419" t="inlineStr">
        <is>
          <t>3F</t>
        </is>
      </c>
      <c r="H419" t="inlineStr">
        <is>
          <t>3J</t>
        </is>
      </c>
      <c r="I419" t="inlineStr">
        <is>
          <t>3K</t>
        </is>
      </c>
      <c r="J419" t="inlineStr">
        <is>
          <t>ABCEFGJK</t>
        </is>
      </c>
    </row>
    <row r="420">
      <c r="A420" t="n">
        <v>419</v>
      </c>
      <c r="B420" t="inlineStr">
        <is>
          <t>3E</t>
        </is>
      </c>
      <c r="C420" t="inlineStr">
        <is>
          <t>3G</t>
        </is>
      </c>
      <c r="D420" t="inlineStr">
        <is>
          <t>3B</t>
        </is>
      </c>
      <c r="E420" t="inlineStr">
        <is>
          <t>3C</t>
        </is>
      </c>
      <c r="F420" t="inlineStr">
        <is>
          <t>3A</t>
        </is>
      </c>
      <c r="G420" t="inlineStr">
        <is>
          <t>3F</t>
        </is>
      </c>
      <c r="H420" t="inlineStr">
        <is>
          <t>3L</t>
        </is>
      </c>
      <c r="I420" t="inlineStr">
        <is>
          <t>3I</t>
        </is>
      </c>
      <c r="J420" t="inlineStr">
        <is>
          <t>ABCEFGIL</t>
        </is>
      </c>
    </row>
    <row r="421">
      <c r="A421" t="n">
        <v>420</v>
      </c>
      <c r="B421" t="inlineStr">
        <is>
          <t>3E</t>
        </is>
      </c>
      <c r="C421" t="inlineStr">
        <is>
          <t>3G</t>
        </is>
      </c>
      <c r="D421" t="inlineStr">
        <is>
          <t>3B</t>
        </is>
      </c>
      <c r="E421" t="inlineStr">
        <is>
          <t>3C</t>
        </is>
      </c>
      <c r="F421" t="inlineStr">
        <is>
          <t>3A</t>
        </is>
      </c>
      <c r="G421" t="inlineStr">
        <is>
          <t>3F</t>
        </is>
      </c>
      <c r="H421" t="inlineStr">
        <is>
          <t>3I</t>
        </is>
      </c>
      <c r="I421" t="inlineStr">
        <is>
          <t>3K</t>
        </is>
      </c>
      <c r="J421" t="inlineStr">
        <is>
          <t>ABCEFGIK</t>
        </is>
      </c>
    </row>
    <row r="422">
      <c r="A422" t="n">
        <v>421</v>
      </c>
      <c r="B422" t="inlineStr">
        <is>
          <t>3E</t>
        </is>
      </c>
      <c r="C422" t="inlineStr">
        <is>
          <t>3G</t>
        </is>
      </c>
      <c r="D422" t="inlineStr">
        <is>
          <t>3B</t>
        </is>
      </c>
      <c r="E422" t="inlineStr">
        <is>
          <t>3C</t>
        </is>
      </c>
      <c r="F422" t="inlineStr">
        <is>
          <t>3A</t>
        </is>
      </c>
      <c r="G422" t="inlineStr">
        <is>
          <t>3F</t>
        </is>
      </c>
      <c r="H422" t="inlineStr">
        <is>
          <t>3I</t>
        </is>
      </c>
      <c r="I422" t="inlineStr">
        <is>
          <t>3J</t>
        </is>
      </c>
      <c r="J422" t="inlineStr">
        <is>
          <t>ABCEFGIJ</t>
        </is>
      </c>
    </row>
    <row r="423">
      <c r="A423" t="n">
        <v>422</v>
      </c>
      <c r="B423" t="inlineStr">
        <is>
          <t>3H</t>
        </is>
      </c>
      <c r="C423" t="inlineStr">
        <is>
          <t>3G</t>
        </is>
      </c>
      <c r="D423" t="inlineStr">
        <is>
          <t>3B</t>
        </is>
      </c>
      <c r="E423" t="inlineStr">
        <is>
          <t>3C</t>
        </is>
      </c>
      <c r="F423" t="inlineStr">
        <is>
          <t>3A</t>
        </is>
      </c>
      <c r="G423" t="inlineStr">
        <is>
          <t>3F</t>
        </is>
      </c>
      <c r="H423" t="inlineStr">
        <is>
          <t>3L</t>
        </is>
      </c>
      <c r="I423" t="inlineStr">
        <is>
          <t>3E</t>
        </is>
      </c>
      <c r="J423" t="inlineStr">
        <is>
          <t>ABCEFGHL</t>
        </is>
      </c>
    </row>
    <row r="424">
      <c r="A424" t="n">
        <v>423</v>
      </c>
      <c r="B424" t="inlineStr">
        <is>
          <t>3H</t>
        </is>
      </c>
      <c r="C424" t="inlineStr">
        <is>
          <t>3G</t>
        </is>
      </c>
      <c r="D424" t="inlineStr">
        <is>
          <t>3B</t>
        </is>
      </c>
      <c r="E424" t="inlineStr">
        <is>
          <t>3C</t>
        </is>
      </c>
      <c r="F424" t="inlineStr">
        <is>
          <t>3A</t>
        </is>
      </c>
      <c r="G424" t="inlineStr">
        <is>
          <t>3F</t>
        </is>
      </c>
      <c r="H424" t="inlineStr">
        <is>
          <t>3E</t>
        </is>
      </c>
      <c r="I424" t="inlineStr">
        <is>
          <t>3K</t>
        </is>
      </c>
      <c r="J424" t="inlineStr">
        <is>
          <t>ABCEFGHK</t>
        </is>
      </c>
    </row>
    <row r="425">
      <c r="A425" t="n">
        <v>424</v>
      </c>
      <c r="B425" t="inlineStr">
        <is>
          <t>3H</t>
        </is>
      </c>
      <c r="C425" t="inlineStr">
        <is>
          <t>3G</t>
        </is>
      </c>
      <c r="D425" t="inlineStr">
        <is>
          <t>3B</t>
        </is>
      </c>
      <c r="E425" t="inlineStr">
        <is>
          <t>3C</t>
        </is>
      </c>
      <c r="F425" t="inlineStr">
        <is>
          <t>3A</t>
        </is>
      </c>
      <c r="G425" t="inlineStr">
        <is>
          <t>3F</t>
        </is>
      </c>
      <c r="H425" t="inlineStr">
        <is>
          <t>3E</t>
        </is>
      </c>
      <c r="I425" t="inlineStr">
        <is>
          <t>3J</t>
        </is>
      </c>
      <c r="J425" t="inlineStr">
        <is>
          <t>ABCEFGHJ</t>
        </is>
      </c>
    </row>
    <row r="426">
      <c r="A426" t="n">
        <v>425</v>
      </c>
      <c r="B426" t="inlineStr">
        <is>
          <t>3H</t>
        </is>
      </c>
      <c r="C426" t="inlineStr">
        <is>
          <t>3G</t>
        </is>
      </c>
      <c r="D426" t="inlineStr">
        <is>
          <t>3B</t>
        </is>
      </c>
      <c r="E426" t="inlineStr">
        <is>
          <t>3C</t>
        </is>
      </c>
      <c r="F426" t="inlineStr">
        <is>
          <t>3A</t>
        </is>
      </c>
      <c r="G426" t="inlineStr">
        <is>
          <t>3F</t>
        </is>
      </c>
      <c r="H426" t="inlineStr">
        <is>
          <t>3E</t>
        </is>
      </c>
      <c r="I426" t="inlineStr">
        <is>
          <t>3I</t>
        </is>
      </c>
      <c r="J426" t="inlineStr">
        <is>
          <t>ABCEFGHI</t>
        </is>
      </c>
    </row>
    <row r="427">
      <c r="A427" t="n">
        <v>426</v>
      </c>
      <c r="B427" t="inlineStr">
        <is>
          <t>3I</t>
        </is>
      </c>
      <c r="C427" t="inlineStr">
        <is>
          <t>3J</t>
        </is>
      </c>
      <c r="D427" t="inlineStr">
        <is>
          <t>3B</t>
        </is>
      </c>
      <c r="E427" t="inlineStr">
        <is>
          <t>3C</t>
        </is>
      </c>
      <c r="F427" t="inlineStr">
        <is>
          <t>3A</t>
        </is>
      </c>
      <c r="G427" t="inlineStr">
        <is>
          <t>3D</t>
        </is>
      </c>
      <c r="H427" t="inlineStr">
        <is>
          <t>3L</t>
        </is>
      </c>
      <c r="I427" t="inlineStr">
        <is>
          <t>3K</t>
        </is>
      </c>
      <c r="J427" t="inlineStr">
        <is>
          <t>ABCDIJKL</t>
        </is>
      </c>
    </row>
    <row r="428">
      <c r="A428" t="n">
        <v>427</v>
      </c>
      <c r="B428" t="inlineStr">
        <is>
          <t>3H</t>
        </is>
      </c>
      <c r="C428" t="inlineStr">
        <is>
          <t>3J</t>
        </is>
      </c>
      <c r="D428" t="inlineStr">
        <is>
          <t>3B</t>
        </is>
      </c>
      <c r="E428" t="inlineStr">
        <is>
          <t>3C</t>
        </is>
      </c>
      <c r="F428" t="inlineStr">
        <is>
          <t>3A</t>
        </is>
      </c>
      <c r="G428" t="inlineStr">
        <is>
          <t>3D</t>
        </is>
      </c>
      <c r="H428" t="inlineStr">
        <is>
          <t>3L</t>
        </is>
      </c>
      <c r="I428" t="inlineStr">
        <is>
          <t>3K</t>
        </is>
      </c>
      <c r="J428" t="inlineStr">
        <is>
          <t>ABCDHJKL</t>
        </is>
      </c>
    </row>
    <row r="429">
      <c r="A429" t="n">
        <v>428</v>
      </c>
      <c r="B429" t="inlineStr">
        <is>
          <t>3H</t>
        </is>
      </c>
      <c r="C429" t="inlineStr">
        <is>
          <t>3I</t>
        </is>
      </c>
      <c r="D429" t="inlineStr">
        <is>
          <t>3B</t>
        </is>
      </c>
      <c r="E429" t="inlineStr">
        <is>
          <t>3C</t>
        </is>
      </c>
      <c r="F429" t="inlineStr">
        <is>
          <t>3A</t>
        </is>
      </c>
      <c r="G429" t="inlineStr">
        <is>
          <t>3D</t>
        </is>
      </c>
      <c r="H429" t="inlineStr">
        <is>
          <t>3L</t>
        </is>
      </c>
      <c r="I429" t="inlineStr">
        <is>
          <t>3K</t>
        </is>
      </c>
      <c r="J429" t="inlineStr">
        <is>
          <t>ABCDHIKL</t>
        </is>
      </c>
    </row>
    <row r="430">
      <c r="A430" t="n">
        <v>429</v>
      </c>
      <c r="B430" t="inlineStr">
        <is>
          <t>3H</t>
        </is>
      </c>
      <c r="C430" t="inlineStr">
        <is>
          <t>3J</t>
        </is>
      </c>
      <c r="D430" t="inlineStr">
        <is>
          <t>3B</t>
        </is>
      </c>
      <c r="E430" t="inlineStr">
        <is>
          <t>3C</t>
        </is>
      </c>
      <c r="F430" t="inlineStr">
        <is>
          <t>3A</t>
        </is>
      </c>
      <c r="G430" t="inlineStr">
        <is>
          <t>3D</t>
        </is>
      </c>
      <c r="H430" t="inlineStr">
        <is>
          <t>3L</t>
        </is>
      </c>
      <c r="I430" t="inlineStr">
        <is>
          <t>3I</t>
        </is>
      </c>
      <c r="J430" t="inlineStr">
        <is>
          <t>ABCDHIJL</t>
        </is>
      </c>
    </row>
    <row r="431">
      <c r="A431" t="n">
        <v>430</v>
      </c>
      <c r="B431" t="inlineStr">
        <is>
          <t>3H</t>
        </is>
      </c>
      <c r="C431" t="inlineStr">
        <is>
          <t>3J</t>
        </is>
      </c>
      <c r="D431" t="inlineStr">
        <is>
          <t>3B</t>
        </is>
      </c>
      <c r="E431" t="inlineStr">
        <is>
          <t>3C</t>
        </is>
      </c>
      <c r="F431" t="inlineStr">
        <is>
          <t>3A</t>
        </is>
      </c>
      <c r="G431" t="inlineStr">
        <is>
          <t>3D</t>
        </is>
      </c>
      <c r="H431" t="inlineStr">
        <is>
          <t>3I</t>
        </is>
      </c>
      <c r="I431" t="inlineStr">
        <is>
          <t>3K</t>
        </is>
      </c>
      <c r="J431" t="inlineStr">
        <is>
          <t>ABCDHIJK</t>
        </is>
      </c>
    </row>
    <row r="432">
      <c r="A432" t="n">
        <v>431</v>
      </c>
      <c r="B432" t="inlineStr">
        <is>
          <t>3C</t>
        </is>
      </c>
      <c r="C432" t="inlineStr">
        <is>
          <t>3J</t>
        </is>
      </c>
      <c r="D432" t="inlineStr">
        <is>
          <t>3B</t>
        </is>
      </c>
      <c r="E432" t="inlineStr">
        <is>
          <t>3D</t>
        </is>
      </c>
      <c r="F432" t="inlineStr">
        <is>
          <t>3A</t>
        </is>
      </c>
      <c r="G432" t="inlineStr">
        <is>
          <t>3G</t>
        </is>
      </c>
      <c r="H432" t="inlineStr">
        <is>
          <t>3L</t>
        </is>
      </c>
      <c r="I432" t="inlineStr">
        <is>
          <t>3K</t>
        </is>
      </c>
      <c r="J432" t="inlineStr">
        <is>
          <t>ABCDGJKL</t>
        </is>
      </c>
    </row>
    <row r="433">
      <c r="A433" t="n">
        <v>432</v>
      </c>
      <c r="B433" t="inlineStr">
        <is>
          <t>3I</t>
        </is>
      </c>
      <c r="C433" t="inlineStr">
        <is>
          <t>3G</t>
        </is>
      </c>
      <c r="D433" t="inlineStr">
        <is>
          <t>3B</t>
        </is>
      </c>
      <c r="E433" t="inlineStr">
        <is>
          <t>3C</t>
        </is>
      </c>
      <c r="F433" t="inlineStr">
        <is>
          <t>3A</t>
        </is>
      </c>
      <c r="G433" t="inlineStr">
        <is>
          <t>3D</t>
        </is>
      </c>
      <c r="H433" t="inlineStr">
        <is>
          <t>3L</t>
        </is>
      </c>
      <c r="I433" t="inlineStr">
        <is>
          <t>3K</t>
        </is>
      </c>
      <c r="J433" t="inlineStr">
        <is>
          <t>ABCDGIKL</t>
        </is>
      </c>
    </row>
    <row r="434">
      <c r="A434" t="n">
        <v>433</v>
      </c>
      <c r="B434" t="inlineStr">
        <is>
          <t>3C</t>
        </is>
      </c>
      <c r="C434" t="inlineStr">
        <is>
          <t>3J</t>
        </is>
      </c>
      <c r="D434" t="inlineStr">
        <is>
          <t>3B</t>
        </is>
      </c>
      <c r="E434" t="inlineStr">
        <is>
          <t>3D</t>
        </is>
      </c>
      <c r="F434" t="inlineStr">
        <is>
          <t>3A</t>
        </is>
      </c>
      <c r="G434" t="inlineStr">
        <is>
          <t>3G</t>
        </is>
      </c>
      <c r="H434" t="inlineStr">
        <is>
          <t>3L</t>
        </is>
      </c>
      <c r="I434" t="inlineStr">
        <is>
          <t>3I</t>
        </is>
      </c>
      <c r="J434" t="inlineStr">
        <is>
          <t>ABCDGIJL</t>
        </is>
      </c>
    </row>
    <row r="435">
      <c r="A435" t="n">
        <v>434</v>
      </c>
      <c r="B435" t="inlineStr">
        <is>
          <t>3C</t>
        </is>
      </c>
      <c r="C435" t="inlineStr">
        <is>
          <t>3J</t>
        </is>
      </c>
      <c r="D435" t="inlineStr">
        <is>
          <t>3B</t>
        </is>
      </c>
      <c r="E435" t="inlineStr">
        <is>
          <t>3D</t>
        </is>
      </c>
      <c r="F435" t="inlineStr">
        <is>
          <t>3A</t>
        </is>
      </c>
      <c r="G435" t="inlineStr">
        <is>
          <t>3G</t>
        </is>
      </c>
      <c r="H435" t="inlineStr">
        <is>
          <t>3I</t>
        </is>
      </c>
      <c r="I435" t="inlineStr">
        <is>
          <t>3K</t>
        </is>
      </c>
      <c r="J435" t="inlineStr">
        <is>
          <t>ABCDGIJK</t>
        </is>
      </c>
    </row>
    <row r="436">
      <c r="A436" t="n">
        <v>435</v>
      </c>
      <c r="B436" t="inlineStr">
        <is>
          <t>3H</t>
        </is>
      </c>
      <c r="C436" t="inlineStr">
        <is>
          <t>3G</t>
        </is>
      </c>
      <c r="D436" t="inlineStr">
        <is>
          <t>3B</t>
        </is>
      </c>
      <c r="E436" t="inlineStr">
        <is>
          <t>3C</t>
        </is>
      </c>
      <c r="F436" t="inlineStr">
        <is>
          <t>3A</t>
        </is>
      </c>
      <c r="G436" t="inlineStr">
        <is>
          <t>3D</t>
        </is>
      </c>
      <c r="H436" t="inlineStr">
        <is>
          <t>3L</t>
        </is>
      </c>
      <c r="I436" t="inlineStr">
        <is>
          <t>3K</t>
        </is>
      </c>
      <c r="J436" t="inlineStr">
        <is>
          <t>ABCDGHKL</t>
        </is>
      </c>
    </row>
    <row r="437">
      <c r="A437" t="n">
        <v>436</v>
      </c>
      <c r="B437" t="inlineStr">
        <is>
          <t>3H</t>
        </is>
      </c>
      <c r="C437" t="inlineStr">
        <is>
          <t>3G</t>
        </is>
      </c>
      <c r="D437" t="inlineStr">
        <is>
          <t>3B</t>
        </is>
      </c>
      <c r="E437" t="inlineStr">
        <is>
          <t>3C</t>
        </is>
      </c>
      <c r="F437" t="inlineStr">
        <is>
          <t>3A</t>
        </is>
      </c>
      <c r="G437" t="inlineStr">
        <is>
          <t>3D</t>
        </is>
      </c>
      <c r="H437" t="inlineStr">
        <is>
          <t>3L</t>
        </is>
      </c>
      <c r="I437" t="inlineStr">
        <is>
          <t>3J</t>
        </is>
      </c>
      <c r="J437" t="inlineStr">
        <is>
          <t>ABCDGHJL</t>
        </is>
      </c>
    </row>
    <row r="438">
      <c r="A438" t="n">
        <v>437</v>
      </c>
      <c r="B438" t="inlineStr">
        <is>
          <t>3H</t>
        </is>
      </c>
      <c r="C438" t="inlineStr">
        <is>
          <t>3G</t>
        </is>
      </c>
      <c r="D438" t="inlineStr">
        <is>
          <t>3B</t>
        </is>
      </c>
      <c r="E438" t="inlineStr">
        <is>
          <t>3C</t>
        </is>
      </c>
      <c r="F438" t="inlineStr">
        <is>
          <t>3A</t>
        </is>
      </c>
      <c r="G438" t="inlineStr">
        <is>
          <t>3D</t>
        </is>
      </c>
      <c r="H438" t="inlineStr">
        <is>
          <t>3J</t>
        </is>
      </c>
      <c r="I438" t="inlineStr">
        <is>
          <t>3K</t>
        </is>
      </c>
      <c r="J438" t="inlineStr">
        <is>
          <t>ABCDGHJK</t>
        </is>
      </c>
    </row>
    <row r="439">
      <c r="A439" t="n">
        <v>438</v>
      </c>
      <c r="B439" t="inlineStr">
        <is>
          <t>3H</t>
        </is>
      </c>
      <c r="C439" t="inlineStr">
        <is>
          <t>3G</t>
        </is>
      </c>
      <c r="D439" t="inlineStr">
        <is>
          <t>3B</t>
        </is>
      </c>
      <c r="E439" t="inlineStr">
        <is>
          <t>3C</t>
        </is>
      </c>
      <c r="F439" t="inlineStr">
        <is>
          <t>3A</t>
        </is>
      </c>
      <c r="G439" t="inlineStr">
        <is>
          <t>3D</t>
        </is>
      </c>
      <c r="H439" t="inlineStr">
        <is>
          <t>3L</t>
        </is>
      </c>
      <c r="I439" t="inlineStr">
        <is>
          <t>3I</t>
        </is>
      </c>
      <c r="J439" t="inlineStr">
        <is>
          <t>ABCDGHIL</t>
        </is>
      </c>
    </row>
    <row r="440">
      <c r="A440" t="n">
        <v>439</v>
      </c>
      <c r="B440" t="inlineStr">
        <is>
          <t>3H</t>
        </is>
      </c>
      <c r="C440" t="inlineStr">
        <is>
          <t>3G</t>
        </is>
      </c>
      <c r="D440" t="inlineStr">
        <is>
          <t>3B</t>
        </is>
      </c>
      <c r="E440" t="inlineStr">
        <is>
          <t>3C</t>
        </is>
      </c>
      <c r="F440" t="inlineStr">
        <is>
          <t>3A</t>
        </is>
      </c>
      <c r="G440" t="inlineStr">
        <is>
          <t>3D</t>
        </is>
      </c>
      <c r="H440" t="inlineStr">
        <is>
          <t>3I</t>
        </is>
      </c>
      <c r="I440" t="inlineStr">
        <is>
          <t>3K</t>
        </is>
      </c>
      <c r="J440" t="inlineStr">
        <is>
          <t>ABCDGHIK</t>
        </is>
      </c>
    </row>
    <row r="441">
      <c r="A441" t="n">
        <v>440</v>
      </c>
      <c r="B441" t="inlineStr">
        <is>
          <t>3H</t>
        </is>
      </c>
      <c r="C441" t="inlineStr">
        <is>
          <t>3G</t>
        </is>
      </c>
      <c r="D441" t="inlineStr">
        <is>
          <t>3B</t>
        </is>
      </c>
      <c r="E441" t="inlineStr">
        <is>
          <t>3C</t>
        </is>
      </c>
      <c r="F441" t="inlineStr">
        <is>
          <t>3A</t>
        </is>
      </c>
      <c r="G441" t="inlineStr">
        <is>
          <t>3D</t>
        </is>
      </c>
      <c r="H441" t="inlineStr">
        <is>
          <t>3I</t>
        </is>
      </c>
      <c r="I441" t="inlineStr">
        <is>
          <t>3J</t>
        </is>
      </c>
      <c r="J441" t="inlineStr">
        <is>
          <t>ABCDGHIJ</t>
        </is>
      </c>
    </row>
    <row r="442">
      <c r="A442" t="n">
        <v>441</v>
      </c>
      <c r="B442" t="inlineStr">
        <is>
          <t>3C</t>
        </is>
      </c>
      <c r="C442" t="inlineStr">
        <is>
          <t>3J</t>
        </is>
      </c>
      <c r="D442" t="inlineStr">
        <is>
          <t>3B</t>
        </is>
      </c>
      <c r="E442" t="inlineStr">
        <is>
          <t>3D</t>
        </is>
      </c>
      <c r="F442" t="inlineStr">
        <is>
          <t>3A</t>
        </is>
      </c>
      <c r="G442" t="inlineStr">
        <is>
          <t>3F</t>
        </is>
      </c>
      <c r="H442" t="inlineStr">
        <is>
          <t>3L</t>
        </is>
      </c>
      <c r="I442" t="inlineStr">
        <is>
          <t>3K</t>
        </is>
      </c>
      <c r="J442" t="inlineStr">
        <is>
          <t>ABCDFJKL</t>
        </is>
      </c>
    </row>
    <row r="443">
      <c r="A443" t="n">
        <v>442</v>
      </c>
      <c r="B443" t="inlineStr">
        <is>
          <t>3C</t>
        </is>
      </c>
      <c r="C443" t="inlineStr">
        <is>
          <t>3I</t>
        </is>
      </c>
      <c r="D443" t="inlineStr">
        <is>
          <t>3B</t>
        </is>
      </c>
      <c r="E443" t="inlineStr">
        <is>
          <t>3D</t>
        </is>
      </c>
      <c r="F443" t="inlineStr">
        <is>
          <t>3A</t>
        </is>
      </c>
      <c r="G443" t="inlineStr">
        <is>
          <t>3F</t>
        </is>
      </c>
      <c r="H443" t="inlineStr">
        <is>
          <t>3L</t>
        </is>
      </c>
      <c r="I443" t="inlineStr">
        <is>
          <t>3K</t>
        </is>
      </c>
      <c r="J443" t="inlineStr">
        <is>
          <t>ABCDFIKL</t>
        </is>
      </c>
    </row>
    <row r="444">
      <c r="A444" t="n">
        <v>443</v>
      </c>
      <c r="B444" t="inlineStr">
        <is>
          <t>3C</t>
        </is>
      </c>
      <c r="C444" t="inlineStr">
        <is>
          <t>3J</t>
        </is>
      </c>
      <c r="D444" t="inlineStr">
        <is>
          <t>3B</t>
        </is>
      </c>
      <c r="E444" t="inlineStr">
        <is>
          <t>3D</t>
        </is>
      </c>
      <c r="F444" t="inlineStr">
        <is>
          <t>3A</t>
        </is>
      </c>
      <c r="G444" t="inlineStr">
        <is>
          <t>3F</t>
        </is>
      </c>
      <c r="H444" t="inlineStr">
        <is>
          <t>3L</t>
        </is>
      </c>
      <c r="I444" t="inlineStr">
        <is>
          <t>3I</t>
        </is>
      </c>
      <c r="J444" t="inlineStr">
        <is>
          <t>ABCDFIJL</t>
        </is>
      </c>
    </row>
    <row r="445">
      <c r="A445" t="n">
        <v>444</v>
      </c>
      <c r="B445" t="inlineStr">
        <is>
          <t>3C</t>
        </is>
      </c>
      <c r="C445" t="inlineStr">
        <is>
          <t>3J</t>
        </is>
      </c>
      <c r="D445" t="inlineStr">
        <is>
          <t>3B</t>
        </is>
      </c>
      <c r="E445" t="inlineStr">
        <is>
          <t>3D</t>
        </is>
      </c>
      <c r="F445" t="inlineStr">
        <is>
          <t>3A</t>
        </is>
      </c>
      <c r="G445" t="inlineStr">
        <is>
          <t>3F</t>
        </is>
      </c>
      <c r="H445" t="inlineStr">
        <is>
          <t>3I</t>
        </is>
      </c>
      <c r="I445" t="inlineStr">
        <is>
          <t>3K</t>
        </is>
      </c>
      <c r="J445" t="inlineStr">
        <is>
          <t>ABCDFIJK</t>
        </is>
      </c>
    </row>
    <row r="446">
      <c r="A446" t="n">
        <v>445</v>
      </c>
      <c r="B446" t="inlineStr">
        <is>
          <t>3H</t>
        </is>
      </c>
      <c r="C446" t="inlineStr">
        <is>
          <t>3F</t>
        </is>
      </c>
      <c r="D446" t="inlineStr">
        <is>
          <t>3B</t>
        </is>
      </c>
      <c r="E446" t="inlineStr">
        <is>
          <t>3C</t>
        </is>
      </c>
      <c r="F446" t="inlineStr">
        <is>
          <t>3A</t>
        </is>
      </c>
      <c r="G446" t="inlineStr">
        <is>
          <t>3D</t>
        </is>
      </c>
      <c r="H446" t="inlineStr">
        <is>
          <t>3L</t>
        </is>
      </c>
      <c r="I446" t="inlineStr">
        <is>
          <t>3K</t>
        </is>
      </c>
      <c r="J446" t="inlineStr">
        <is>
          <t>ABCDFHKL</t>
        </is>
      </c>
    </row>
    <row r="447">
      <c r="A447" t="n">
        <v>446</v>
      </c>
      <c r="B447" t="inlineStr">
        <is>
          <t>3C</t>
        </is>
      </c>
      <c r="C447" t="inlineStr">
        <is>
          <t>3J</t>
        </is>
      </c>
      <c r="D447" t="inlineStr">
        <is>
          <t>3B</t>
        </is>
      </c>
      <c r="E447" t="inlineStr">
        <is>
          <t>3D</t>
        </is>
      </c>
      <c r="F447" t="inlineStr">
        <is>
          <t>3A</t>
        </is>
      </c>
      <c r="G447" t="inlineStr">
        <is>
          <t>3F</t>
        </is>
      </c>
      <c r="H447" t="inlineStr">
        <is>
          <t>3L</t>
        </is>
      </c>
      <c r="I447" t="inlineStr">
        <is>
          <t>3H</t>
        </is>
      </c>
      <c r="J447" t="inlineStr">
        <is>
          <t>ABCDFHJL</t>
        </is>
      </c>
    </row>
    <row r="448">
      <c r="A448" t="n">
        <v>447</v>
      </c>
      <c r="B448" t="inlineStr">
        <is>
          <t>3H</t>
        </is>
      </c>
      <c r="C448" t="inlineStr">
        <is>
          <t>3J</t>
        </is>
      </c>
      <c r="D448" t="inlineStr">
        <is>
          <t>3B</t>
        </is>
      </c>
      <c r="E448" t="inlineStr">
        <is>
          <t>3C</t>
        </is>
      </c>
      <c r="F448" t="inlineStr">
        <is>
          <t>3A</t>
        </is>
      </c>
      <c r="G448" t="inlineStr">
        <is>
          <t>3F</t>
        </is>
      </c>
      <c r="H448" t="inlineStr">
        <is>
          <t>3D</t>
        </is>
      </c>
      <c r="I448" t="inlineStr">
        <is>
          <t>3K</t>
        </is>
      </c>
      <c r="J448" t="inlineStr">
        <is>
          <t>ABCDFHJK</t>
        </is>
      </c>
    </row>
    <row r="449">
      <c r="A449" t="n">
        <v>448</v>
      </c>
      <c r="B449" t="inlineStr">
        <is>
          <t>3H</t>
        </is>
      </c>
      <c r="C449" t="inlineStr">
        <is>
          <t>3F</t>
        </is>
      </c>
      <c r="D449" t="inlineStr">
        <is>
          <t>3B</t>
        </is>
      </c>
      <c r="E449" t="inlineStr">
        <is>
          <t>3C</t>
        </is>
      </c>
      <c r="F449" t="inlineStr">
        <is>
          <t>3A</t>
        </is>
      </c>
      <c r="G449" t="inlineStr">
        <is>
          <t>3D</t>
        </is>
      </c>
      <c r="H449" t="inlineStr">
        <is>
          <t>3L</t>
        </is>
      </c>
      <c r="I449" t="inlineStr">
        <is>
          <t>3I</t>
        </is>
      </c>
      <c r="J449" t="inlineStr">
        <is>
          <t>ABCDFHIL</t>
        </is>
      </c>
    </row>
    <row r="450">
      <c r="A450" t="n">
        <v>449</v>
      </c>
      <c r="B450" t="inlineStr">
        <is>
          <t>3H</t>
        </is>
      </c>
      <c r="C450" t="inlineStr">
        <is>
          <t>3F</t>
        </is>
      </c>
      <c r="D450" t="inlineStr">
        <is>
          <t>3B</t>
        </is>
      </c>
      <c r="E450" t="inlineStr">
        <is>
          <t>3C</t>
        </is>
      </c>
      <c r="F450" t="inlineStr">
        <is>
          <t>3A</t>
        </is>
      </c>
      <c r="G450" t="inlineStr">
        <is>
          <t>3D</t>
        </is>
      </c>
      <c r="H450" t="inlineStr">
        <is>
          <t>3I</t>
        </is>
      </c>
      <c r="I450" t="inlineStr">
        <is>
          <t>3K</t>
        </is>
      </c>
      <c r="J450" t="inlineStr">
        <is>
          <t>ABCDFHIK</t>
        </is>
      </c>
    </row>
    <row r="451">
      <c r="A451" t="n">
        <v>450</v>
      </c>
      <c r="B451" t="inlineStr">
        <is>
          <t>3H</t>
        </is>
      </c>
      <c r="C451" t="inlineStr">
        <is>
          <t>3J</t>
        </is>
      </c>
      <c r="D451" t="inlineStr">
        <is>
          <t>3B</t>
        </is>
      </c>
      <c r="E451" t="inlineStr">
        <is>
          <t>3C</t>
        </is>
      </c>
      <c r="F451" t="inlineStr">
        <is>
          <t>3A</t>
        </is>
      </c>
      <c r="G451" t="inlineStr">
        <is>
          <t>3F</t>
        </is>
      </c>
      <c r="H451" t="inlineStr">
        <is>
          <t>3D</t>
        </is>
      </c>
      <c r="I451" t="inlineStr">
        <is>
          <t>3I</t>
        </is>
      </c>
      <c r="J451" t="inlineStr">
        <is>
          <t>ABCDFHIJ</t>
        </is>
      </c>
    </row>
    <row r="452">
      <c r="A452" t="n">
        <v>451</v>
      </c>
      <c r="B452" t="inlineStr">
        <is>
          <t>3C</t>
        </is>
      </c>
      <c r="C452" t="inlineStr">
        <is>
          <t>3G</t>
        </is>
      </c>
      <c r="D452" t="inlineStr">
        <is>
          <t>3B</t>
        </is>
      </c>
      <c r="E452" t="inlineStr">
        <is>
          <t>3D</t>
        </is>
      </c>
      <c r="F452" t="inlineStr">
        <is>
          <t>3A</t>
        </is>
      </c>
      <c r="G452" t="inlineStr">
        <is>
          <t>3F</t>
        </is>
      </c>
      <c r="H452" t="inlineStr">
        <is>
          <t>3L</t>
        </is>
      </c>
      <c r="I452" t="inlineStr">
        <is>
          <t>3K</t>
        </is>
      </c>
      <c r="J452" t="inlineStr">
        <is>
          <t>ABCDFGKL</t>
        </is>
      </c>
    </row>
    <row r="453">
      <c r="A453" t="n">
        <v>452</v>
      </c>
      <c r="B453" t="inlineStr">
        <is>
          <t>3C</t>
        </is>
      </c>
      <c r="C453" t="inlineStr">
        <is>
          <t>3G</t>
        </is>
      </c>
      <c r="D453" t="inlineStr">
        <is>
          <t>3B</t>
        </is>
      </c>
      <c r="E453" t="inlineStr">
        <is>
          <t>3D</t>
        </is>
      </c>
      <c r="F453" t="inlineStr">
        <is>
          <t>3A</t>
        </is>
      </c>
      <c r="G453" t="inlineStr">
        <is>
          <t>3F</t>
        </is>
      </c>
      <c r="H453" t="inlineStr">
        <is>
          <t>3L</t>
        </is>
      </c>
      <c r="I453" t="inlineStr">
        <is>
          <t>3J</t>
        </is>
      </c>
      <c r="J453" t="inlineStr">
        <is>
          <t>ABCDFGJL</t>
        </is>
      </c>
    </row>
    <row r="454">
      <c r="A454" t="n">
        <v>453</v>
      </c>
      <c r="B454" t="inlineStr">
        <is>
          <t>3C</t>
        </is>
      </c>
      <c r="C454" t="inlineStr">
        <is>
          <t>3G</t>
        </is>
      </c>
      <c r="D454" t="inlineStr">
        <is>
          <t>3B</t>
        </is>
      </c>
      <c r="E454" t="inlineStr">
        <is>
          <t>3D</t>
        </is>
      </c>
      <c r="F454" t="inlineStr">
        <is>
          <t>3A</t>
        </is>
      </c>
      <c r="G454" t="inlineStr">
        <is>
          <t>3F</t>
        </is>
      </c>
      <c r="H454" t="inlineStr">
        <is>
          <t>3J</t>
        </is>
      </c>
      <c r="I454" t="inlineStr">
        <is>
          <t>3K</t>
        </is>
      </c>
      <c r="J454" t="inlineStr">
        <is>
          <t>ABCDFGJK</t>
        </is>
      </c>
    </row>
    <row r="455">
      <c r="A455" t="n">
        <v>454</v>
      </c>
      <c r="B455" t="inlineStr">
        <is>
          <t>3C</t>
        </is>
      </c>
      <c r="C455" t="inlineStr">
        <is>
          <t>3G</t>
        </is>
      </c>
      <c r="D455" t="inlineStr">
        <is>
          <t>3B</t>
        </is>
      </c>
      <c r="E455" t="inlineStr">
        <is>
          <t>3D</t>
        </is>
      </c>
      <c r="F455" t="inlineStr">
        <is>
          <t>3A</t>
        </is>
      </c>
      <c r="G455" t="inlineStr">
        <is>
          <t>3F</t>
        </is>
      </c>
      <c r="H455" t="inlineStr">
        <is>
          <t>3L</t>
        </is>
      </c>
      <c r="I455" t="inlineStr">
        <is>
          <t>3I</t>
        </is>
      </c>
      <c r="J455" t="inlineStr">
        <is>
          <t>ABCDFGIL</t>
        </is>
      </c>
    </row>
    <row r="456">
      <c r="A456" t="n">
        <v>455</v>
      </c>
      <c r="B456" t="inlineStr">
        <is>
          <t>3C</t>
        </is>
      </c>
      <c r="C456" t="inlineStr">
        <is>
          <t>3G</t>
        </is>
      </c>
      <c r="D456" t="inlineStr">
        <is>
          <t>3B</t>
        </is>
      </c>
      <c r="E456" t="inlineStr">
        <is>
          <t>3D</t>
        </is>
      </c>
      <c r="F456" t="inlineStr">
        <is>
          <t>3A</t>
        </is>
      </c>
      <c r="G456" t="inlineStr">
        <is>
          <t>3F</t>
        </is>
      </c>
      <c r="H456" t="inlineStr">
        <is>
          <t>3I</t>
        </is>
      </c>
      <c r="I456" t="inlineStr">
        <is>
          <t>3K</t>
        </is>
      </c>
      <c r="J456" t="inlineStr">
        <is>
          <t>ABCDFGIK</t>
        </is>
      </c>
    </row>
    <row r="457">
      <c r="A457" t="n">
        <v>456</v>
      </c>
      <c r="B457" t="inlineStr">
        <is>
          <t>3C</t>
        </is>
      </c>
      <c r="C457" t="inlineStr">
        <is>
          <t>3G</t>
        </is>
      </c>
      <c r="D457" t="inlineStr">
        <is>
          <t>3B</t>
        </is>
      </c>
      <c r="E457" t="inlineStr">
        <is>
          <t>3D</t>
        </is>
      </c>
      <c r="F457" t="inlineStr">
        <is>
          <t>3A</t>
        </is>
      </c>
      <c r="G457" t="inlineStr">
        <is>
          <t>3F</t>
        </is>
      </c>
      <c r="H457" t="inlineStr">
        <is>
          <t>3I</t>
        </is>
      </c>
      <c r="I457" t="inlineStr">
        <is>
          <t>3J</t>
        </is>
      </c>
      <c r="J457" t="inlineStr">
        <is>
          <t>ABCDFGIJ</t>
        </is>
      </c>
    </row>
    <row r="458">
      <c r="A458" t="n">
        <v>457</v>
      </c>
      <c r="B458" t="inlineStr">
        <is>
          <t>3C</t>
        </is>
      </c>
      <c r="C458" t="inlineStr">
        <is>
          <t>3G</t>
        </is>
      </c>
      <c r="D458" t="inlineStr">
        <is>
          <t>3B</t>
        </is>
      </c>
      <c r="E458" t="inlineStr">
        <is>
          <t>3D</t>
        </is>
      </c>
      <c r="F458" t="inlineStr">
        <is>
          <t>3A</t>
        </is>
      </c>
      <c r="G458" t="inlineStr">
        <is>
          <t>3F</t>
        </is>
      </c>
      <c r="H458" t="inlineStr">
        <is>
          <t>3L</t>
        </is>
      </c>
      <c r="I458" t="inlineStr">
        <is>
          <t>3H</t>
        </is>
      </c>
      <c r="J458" t="inlineStr">
        <is>
          <t>ABCDFGHL</t>
        </is>
      </c>
    </row>
    <row r="459">
      <c r="A459" t="n">
        <v>458</v>
      </c>
      <c r="B459" t="inlineStr">
        <is>
          <t>3H</t>
        </is>
      </c>
      <c r="C459" t="inlineStr">
        <is>
          <t>3G</t>
        </is>
      </c>
      <c r="D459" t="inlineStr">
        <is>
          <t>3B</t>
        </is>
      </c>
      <c r="E459" t="inlineStr">
        <is>
          <t>3C</t>
        </is>
      </c>
      <c r="F459" t="inlineStr">
        <is>
          <t>3A</t>
        </is>
      </c>
      <c r="G459" t="inlineStr">
        <is>
          <t>3F</t>
        </is>
      </c>
      <c r="H459" t="inlineStr">
        <is>
          <t>3D</t>
        </is>
      </c>
      <c r="I459" t="inlineStr">
        <is>
          <t>3K</t>
        </is>
      </c>
      <c r="J459" t="inlineStr">
        <is>
          <t>ABCDFGHK</t>
        </is>
      </c>
    </row>
    <row r="460">
      <c r="A460" t="n">
        <v>459</v>
      </c>
      <c r="B460" t="inlineStr">
        <is>
          <t>3H</t>
        </is>
      </c>
      <c r="C460" t="inlineStr">
        <is>
          <t>3G</t>
        </is>
      </c>
      <c r="D460" t="inlineStr">
        <is>
          <t>3B</t>
        </is>
      </c>
      <c r="E460" t="inlineStr">
        <is>
          <t>3C</t>
        </is>
      </c>
      <c r="F460" t="inlineStr">
        <is>
          <t>3A</t>
        </is>
      </c>
      <c r="G460" t="inlineStr">
        <is>
          <t>3F</t>
        </is>
      </c>
      <c r="H460" t="inlineStr">
        <is>
          <t>3D</t>
        </is>
      </c>
      <c r="I460" t="inlineStr">
        <is>
          <t>3J</t>
        </is>
      </c>
      <c r="J460" t="inlineStr">
        <is>
          <t>ABCDFGHJ</t>
        </is>
      </c>
    </row>
    <row r="461">
      <c r="A461" t="n">
        <v>460</v>
      </c>
      <c r="B461" t="inlineStr">
        <is>
          <t>3H</t>
        </is>
      </c>
      <c r="C461" t="inlineStr">
        <is>
          <t>3G</t>
        </is>
      </c>
      <c r="D461" t="inlineStr">
        <is>
          <t>3B</t>
        </is>
      </c>
      <c r="E461" t="inlineStr">
        <is>
          <t>3C</t>
        </is>
      </c>
      <c r="F461" t="inlineStr">
        <is>
          <t>3A</t>
        </is>
      </c>
      <c r="G461" t="inlineStr">
        <is>
          <t>3F</t>
        </is>
      </c>
      <c r="H461" t="inlineStr">
        <is>
          <t>3D</t>
        </is>
      </c>
      <c r="I461" t="inlineStr">
        <is>
          <t>3I</t>
        </is>
      </c>
      <c r="J461" t="inlineStr">
        <is>
          <t>ABCDFGHI</t>
        </is>
      </c>
    </row>
    <row r="462">
      <c r="A462" t="n">
        <v>461</v>
      </c>
      <c r="B462" t="inlineStr">
        <is>
          <t>3E</t>
        </is>
      </c>
      <c r="C462" t="inlineStr">
        <is>
          <t>3J</t>
        </is>
      </c>
      <c r="D462" t="inlineStr">
        <is>
          <t>3B</t>
        </is>
      </c>
      <c r="E462" t="inlineStr">
        <is>
          <t>3C</t>
        </is>
      </c>
      <c r="F462" t="inlineStr">
        <is>
          <t>3A</t>
        </is>
      </c>
      <c r="G462" t="inlineStr">
        <is>
          <t>3D</t>
        </is>
      </c>
      <c r="H462" t="inlineStr">
        <is>
          <t>3L</t>
        </is>
      </c>
      <c r="I462" t="inlineStr">
        <is>
          <t>3K</t>
        </is>
      </c>
      <c r="J462" t="inlineStr">
        <is>
          <t>ABCDEJKL</t>
        </is>
      </c>
    </row>
    <row r="463">
      <c r="A463" t="n">
        <v>462</v>
      </c>
      <c r="B463" t="inlineStr">
        <is>
          <t>3E</t>
        </is>
      </c>
      <c r="C463" t="inlineStr">
        <is>
          <t>3I</t>
        </is>
      </c>
      <c r="D463" t="inlineStr">
        <is>
          <t>3B</t>
        </is>
      </c>
      <c r="E463" t="inlineStr">
        <is>
          <t>3C</t>
        </is>
      </c>
      <c r="F463" t="inlineStr">
        <is>
          <t>3A</t>
        </is>
      </c>
      <c r="G463" t="inlineStr">
        <is>
          <t>3D</t>
        </is>
      </c>
      <c r="H463" t="inlineStr">
        <is>
          <t>3L</t>
        </is>
      </c>
      <c r="I463" t="inlineStr">
        <is>
          <t>3K</t>
        </is>
      </c>
      <c r="J463" t="inlineStr">
        <is>
          <t>ABCDEIKL</t>
        </is>
      </c>
    </row>
    <row r="464">
      <c r="A464" t="n">
        <v>463</v>
      </c>
      <c r="B464" t="inlineStr">
        <is>
          <t>3E</t>
        </is>
      </c>
      <c r="C464" t="inlineStr">
        <is>
          <t>3J</t>
        </is>
      </c>
      <c r="D464" t="inlineStr">
        <is>
          <t>3B</t>
        </is>
      </c>
      <c r="E464" t="inlineStr">
        <is>
          <t>3C</t>
        </is>
      </c>
      <c r="F464" t="inlineStr">
        <is>
          <t>3A</t>
        </is>
      </c>
      <c r="G464" t="inlineStr">
        <is>
          <t>3D</t>
        </is>
      </c>
      <c r="H464" t="inlineStr">
        <is>
          <t>3L</t>
        </is>
      </c>
      <c r="I464" t="inlineStr">
        <is>
          <t>3I</t>
        </is>
      </c>
      <c r="J464" t="inlineStr">
        <is>
          <t>ABCDEIJL</t>
        </is>
      </c>
    </row>
    <row r="465">
      <c r="A465" t="n">
        <v>464</v>
      </c>
      <c r="B465" t="inlineStr">
        <is>
          <t>3E</t>
        </is>
      </c>
      <c r="C465" t="inlineStr">
        <is>
          <t>3J</t>
        </is>
      </c>
      <c r="D465" t="inlineStr">
        <is>
          <t>3B</t>
        </is>
      </c>
      <c r="E465" t="inlineStr">
        <is>
          <t>3C</t>
        </is>
      </c>
      <c r="F465" t="inlineStr">
        <is>
          <t>3A</t>
        </is>
      </c>
      <c r="G465" t="inlineStr">
        <is>
          <t>3D</t>
        </is>
      </c>
      <c r="H465" t="inlineStr">
        <is>
          <t>3I</t>
        </is>
      </c>
      <c r="I465" t="inlineStr">
        <is>
          <t>3K</t>
        </is>
      </c>
      <c r="J465" t="inlineStr">
        <is>
          <t>ABCDEIJK</t>
        </is>
      </c>
    </row>
    <row r="466">
      <c r="A466" t="n">
        <v>465</v>
      </c>
      <c r="B466" t="inlineStr">
        <is>
          <t>3H</t>
        </is>
      </c>
      <c r="C466" t="inlineStr">
        <is>
          <t>3E</t>
        </is>
      </c>
      <c r="D466" t="inlineStr">
        <is>
          <t>3B</t>
        </is>
      </c>
      <c r="E466" t="inlineStr">
        <is>
          <t>3C</t>
        </is>
      </c>
      <c r="F466" t="inlineStr">
        <is>
          <t>3A</t>
        </is>
      </c>
      <c r="G466" t="inlineStr">
        <is>
          <t>3D</t>
        </is>
      </c>
      <c r="H466" t="inlineStr">
        <is>
          <t>3L</t>
        </is>
      </c>
      <c r="I466" t="inlineStr">
        <is>
          <t>3K</t>
        </is>
      </c>
      <c r="J466" t="inlineStr">
        <is>
          <t>ABCDEHKL</t>
        </is>
      </c>
    </row>
    <row r="467">
      <c r="A467" t="n">
        <v>466</v>
      </c>
      <c r="B467" t="inlineStr">
        <is>
          <t>3H</t>
        </is>
      </c>
      <c r="C467" t="inlineStr">
        <is>
          <t>3J</t>
        </is>
      </c>
      <c r="D467" t="inlineStr">
        <is>
          <t>3B</t>
        </is>
      </c>
      <c r="E467" t="inlineStr">
        <is>
          <t>3C</t>
        </is>
      </c>
      <c r="F467" t="inlineStr">
        <is>
          <t>3A</t>
        </is>
      </c>
      <c r="G467" t="inlineStr">
        <is>
          <t>3D</t>
        </is>
      </c>
      <c r="H467" t="inlineStr">
        <is>
          <t>3L</t>
        </is>
      </c>
      <c r="I467" t="inlineStr">
        <is>
          <t>3E</t>
        </is>
      </c>
      <c r="J467" t="inlineStr">
        <is>
          <t>ABCDEHJL</t>
        </is>
      </c>
    </row>
    <row r="468">
      <c r="A468" t="n">
        <v>467</v>
      </c>
      <c r="B468" t="inlineStr">
        <is>
          <t>3H</t>
        </is>
      </c>
      <c r="C468" t="inlineStr">
        <is>
          <t>3J</t>
        </is>
      </c>
      <c r="D468" t="inlineStr">
        <is>
          <t>3B</t>
        </is>
      </c>
      <c r="E468" t="inlineStr">
        <is>
          <t>3C</t>
        </is>
      </c>
      <c r="F468" t="inlineStr">
        <is>
          <t>3A</t>
        </is>
      </c>
      <c r="G468" t="inlineStr">
        <is>
          <t>3D</t>
        </is>
      </c>
      <c r="H468" t="inlineStr">
        <is>
          <t>3E</t>
        </is>
      </c>
      <c r="I468" t="inlineStr">
        <is>
          <t>3K</t>
        </is>
      </c>
      <c r="J468" t="inlineStr">
        <is>
          <t>ABCDEHJK</t>
        </is>
      </c>
    </row>
    <row r="469">
      <c r="A469" t="n">
        <v>468</v>
      </c>
      <c r="B469" t="inlineStr">
        <is>
          <t>3H</t>
        </is>
      </c>
      <c r="C469" t="inlineStr">
        <is>
          <t>3E</t>
        </is>
      </c>
      <c r="D469" t="inlineStr">
        <is>
          <t>3B</t>
        </is>
      </c>
      <c r="E469" t="inlineStr">
        <is>
          <t>3C</t>
        </is>
      </c>
      <c r="F469" t="inlineStr">
        <is>
          <t>3A</t>
        </is>
      </c>
      <c r="G469" t="inlineStr">
        <is>
          <t>3D</t>
        </is>
      </c>
      <c r="H469" t="inlineStr">
        <is>
          <t>3L</t>
        </is>
      </c>
      <c r="I469" t="inlineStr">
        <is>
          <t>3I</t>
        </is>
      </c>
      <c r="J469" t="inlineStr">
        <is>
          <t>ABCDEHIL</t>
        </is>
      </c>
    </row>
    <row r="470">
      <c r="A470" t="n">
        <v>469</v>
      </c>
      <c r="B470" t="inlineStr">
        <is>
          <t>3H</t>
        </is>
      </c>
      <c r="C470" t="inlineStr">
        <is>
          <t>3E</t>
        </is>
      </c>
      <c r="D470" t="inlineStr">
        <is>
          <t>3B</t>
        </is>
      </c>
      <c r="E470" t="inlineStr">
        <is>
          <t>3C</t>
        </is>
      </c>
      <c r="F470" t="inlineStr">
        <is>
          <t>3A</t>
        </is>
      </c>
      <c r="G470" t="inlineStr">
        <is>
          <t>3D</t>
        </is>
      </c>
      <c r="H470" t="inlineStr">
        <is>
          <t>3I</t>
        </is>
      </c>
      <c r="I470" t="inlineStr">
        <is>
          <t>3K</t>
        </is>
      </c>
      <c r="J470" t="inlineStr">
        <is>
          <t>ABCDEHIK</t>
        </is>
      </c>
    </row>
    <row r="471">
      <c r="A471" t="n">
        <v>470</v>
      </c>
      <c r="B471" t="inlineStr">
        <is>
          <t>3H</t>
        </is>
      </c>
      <c r="C471" t="inlineStr">
        <is>
          <t>3J</t>
        </is>
      </c>
      <c r="D471" t="inlineStr">
        <is>
          <t>3B</t>
        </is>
      </c>
      <c r="E471" t="inlineStr">
        <is>
          <t>3C</t>
        </is>
      </c>
      <c r="F471" t="inlineStr">
        <is>
          <t>3A</t>
        </is>
      </c>
      <c r="G471" t="inlineStr">
        <is>
          <t>3D</t>
        </is>
      </c>
      <c r="H471" t="inlineStr">
        <is>
          <t>3E</t>
        </is>
      </c>
      <c r="I471" t="inlineStr">
        <is>
          <t>3I</t>
        </is>
      </c>
      <c r="J471" t="inlineStr">
        <is>
          <t>ABCDEHIJ</t>
        </is>
      </c>
    </row>
    <row r="472">
      <c r="A472" t="n">
        <v>471</v>
      </c>
      <c r="B472" t="inlineStr">
        <is>
          <t>3E</t>
        </is>
      </c>
      <c r="C472" t="inlineStr">
        <is>
          <t>3G</t>
        </is>
      </c>
      <c r="D472" t="inlineStr">
        <is>
          <t>3B</t>
        </is>
      </c>
      <c r="E472" t="inlineStr">
        <is>
          <t>3C</t>
        </is>
      </c>
      <c r="F472" t="inlineStr">
        <is>
          <t>3A</t>
        </is>
      </c>
      <c r="G472" t="inlineStr">
        <is>
          <t>3D</t>
        </is>
      </c>
      <c r="H472" t="inlineStr">
        <is>
          <t>3L</t>
        </is>
      </c>
      <c r="I472" t="inlineStr">
        <is>
          <t>3K</t>
        </is>
      </c>
      <c r="J472" t="inlineStr">
        <is>
          <t>ABCDEGKL</t>
        </is>
      </c>
    </row>
    <row r="473">
      <c r="A473" t="n">
        <v>472</v>
      </c>
      <c r="B473" t="inlineStr">
        <is>
          <t>3E</t>
        </is>
      </c>
      <c r="C473" t="inlineStr">
        <is>
          <t>3G</t>
        </is>
      </c>
      <c r="D473" t="inlineStr">
        <is>
          <t>3B</t>
        </is>
      </c>
      <c r="E473" t="inlineStr">
        <is>
          <t>3C</t>
        </is>
      </c>
      <c r="F473" t="inlineStr">
        <is>
          <t>3A</t>
        </is>
      </c>
      <c r="G473" t="inlineStr">
        <is>
          <t>3D</t>
        </is>
      </c>
      <c r="H473" t="inlineStr">
        <is>
          <t>3L</t>
        </is>
      </c>
      <c r="I473" t="inlineStr">
        <is>
          <t>3J</t>
        </is>
      </c>
      <c r="J473" t="inlineStr">
        <is>
          <t>ABCDEGJL</t>
        </is>
      </c>
    </row>
    <row r="474">
      <c r="A474" t="n">
        <v>473</v>
      </c>
      <c r="B474" t="inlineStr">
        <is>
          <t>3E</t>
        </is>
      </c>
      <c r="C474" t="inlineStr">
        <is>
          <t>3G</t>
        </is>
      </c>
      <c r="D474" t="inlineStr">
        <is>
          <t>3B</t>
        </is>
      </c>
      <c r="E474" t="inlineStr">
        <is>
          <t>3C</t>
        </is>
      </c>
      <c r="F474" t="inlineStr">
        <is>
          <t>3A</t>
        </is>
      </c>
      <c r="G474" t="inlineStr">
        <is>
          <t>3D</t>
        </is>
      </c>
      <c r="H474" t="inlineStr">
        <is>
          <t>3J</t>
        </is>
      </c>
      <c r="I474" t="inlineStr">
        <is>
          <t>3K</t>
        </is>
      </c>
      <c r="J474" t="inlineStr">
        <is>
          <t>ABCDEGJK</t>
        </is>
      </c>
    </row>
    <row r="475">
      <c r="A475" t="n">
        <v>474</v>
      </c>
      <c r="B475" t="inlineStr">
        <is>
          <t>3E</t>
        </is>
      </c>
      <c r="C475" t="inlineStr">
        <is>
          <t>3G</t>
        </is>
      </c>
      <c r="D475" t="inlineStr">
        <is>
          <t>3B</t>
        </is>
      </c>
      <c r="E475" t="inlineStr">
        <is>
          <t>3C</t>
        </is>
      </c>
      <c r="F475" t="inlineStr">
        <is>
          <t>3A</t>
        </is>
      </c>
      <c r="G475" t="inlineStr">
        <is>
          <t>3D</t>
        </is>
      </c>
      <c r="H475" t="inlineStr">
        <is>
          <t>3L</t>
        </is>
      </c>
      <c r="I475" t="inlineStr">
        <is>
          <t>3I</t>
        </is>
      </c>
      <c r="J475" t="inlineStr">
        <is>
          <t>ABCDEGIL</t>
        </is>
      </c>
    </row>
    <row r="476">
      <c r="A476" t="n">
        <v>475</v>
      </c>
      <c r="B476" t="inlineStr">
        <is>
          <t>3E</t>
        </is>
      </c>
      <c r="C476" t="inlineStr">
        <is>
          <t>3G</t>
        </is>
      </c>
      <c r="D476" t="inlineStr">
        <is>
          <t>3B</t>
        </is>
      </c>
      <c r="E476" t="inlineStr">
        <is>
          <t>3C</t>
        </is>
      </c>
      <c r="F476" t="inlineStr">
        <is>
          <t>3A</t>
        </is>
      </c>
      <c r="G476" t="inlineStr">
        <is>
          <t>3D</t>
        </is>
      </c>
      <c r="H476" t="inlineStr">
        <is>
          <t>3I</t>
        </is>
      </c>
      <c r="I476" t="inlineStr">
        <is>
          <t>3K</t>
        </is>
      </c>
      <c r="J476" t="inlineStr">
        <is>
          <t>ABCDEGIK</t>
        </is>
      </c>
    </row>
    <row r="477">
      <c r="A477" t="n">
        <v>476</v>
      </c>
      <c r="B477" t="inlineStr">
        <is>
          <t>3E</t>
        </is>
      </c>
      <c r="C477" t="inlineStr">
        <is>
          <t>3G</t>
        </is>
      </c>
      <c r="D477" t="inlineStr">
        <is>
          <t>3B</t>
        </is>
      </c>
      <c r="E477" t="inlineStr">
        <is>
          <t>3C</t>
        </is>
      </c>
      <c r="F477" t="inlineStr">
        <is>
          <t>3A</t>
        </is>
      </c>
      <c r="G477" t="inlineStr">
        <is>
          <t>3D</t>
        </is>
      </c>
      <c r="H477" t="inlineStr">
        <is>
          <t>3I</t>
        </is>
      </c>
      <c r="I477" t="inlineStr">
        <is>
          <t>3J</t>
        </is>
      </c>
      <c r="J477" t="inlineStr">
        <is>
          <t>ABCDEGIJ</t>
        </is>
      </c>
    </row>
    <row r="478">
      <c r="A478" t="n">
        <v>477</v>
      </c>
      <c r="B478" t="inlineStr">
        <is>
          <t>3H</t>
        </is>
      </c>
      <c r="C478" t="inlineStr">
        <is>
          <t>3G</t>
        </is>
      </c>
      <c r="D478" t="inlineStr">
        <is>
          <t>3B</t>
        </is>
      </c>
      <c r="E478" t="inlineStr">
        <is>
          <t>3C</t>
        </is>
      </c>
      <c r="F478" t="inlineStr">
        <is>
          <t>3A</t>
        </is>
      </c>
      <c r="G478" t="inlineStr">
        <is>
          <t>3D</t>
        </is>
      </c>
      <c r="H478" t="inlineStr">
        <is>
          <t>3L</t>
        </is>
      </c>
      <c r="I478" t="inlineStr">
        <is>
          <t>3E</t>
        </is>
      </c>
      <c r="J478" t="inlineStr">
        <is>
          <t>ABCDEGHL</t>
        </is>
      </c>
    </row>
    <row r="479">
      <c r="A479" t="n">
        <v>478</v>
      </c>
      <c r="B479" t="inlineStr">
        <is>
          <t>3H</t>
        </is>
      </c>
      <c r="C479" t="inlineStr">
        <is>
          <t>3G</t>
        </is>
      </c>
      <c r="D479" t="inlineStr">
        <is>
          <t>3B</t>
        </is>
      </c>
      <c r="E479" t="inlineStr">
        <is>
          <t>3C</t>
        </is>
      </c>
      <c r="F479" t="inlineStr">
        <is>
          <t>3A</t>
        </is>
      </c>
      <c r="G479" t="inlineStr">
        <is>
          <t>3D</t>
        </is>
      </c>
      <c r="H479" t="inlineStr">
        <is>
          <t>3E</t>
        </is>
      </c>
      <c r="I479" t="inlineStr">
        <is>
          <t>3K</t>
        </is>
      </c>
      <c r="J479" t="inlineStr">
        <is>
          <t>ABCDEGHK</t>
        </is>
      </c>
    </row>
    <row r="480">
      <c r="A480" t="n">
        <v>479</v>
      </c>
      <c r="B480" t="inlineStr">
        <is>
          <t>3H</t>
        </is>
      </c>
      <c r="C480" t="inlineStr">
        <is>
          <t>3G</t>
        </is>
      </c>
      <c r="D480" t="inlineStr">
        <is>
          <t>3B</t>
        </is>
      </c>
      <c r="E480" t="inlineStr">
        <is>
          <t>3C</t>
        </is>
      </c>
      <c r="F480" t="inlineStr">
        <is>
          <t>3A</t>
        </is>
      </c>
      <c r="G480" t="inlineStr">
        <is>
          <t>3D</t>
        </is>
      </c>
      <c r="H480" t="inlineStr">
        <is>
          <t>3E</t>
        </is>
      </c>
      <c r="I480" t="inlineStr">
        <is>
          <t>3J</t>
        </is>
      </c>
      <c r="J480" t="inlineStr">
        <is>
          <t>ABCDEGHJ</t>
        </is>
      </c>
    </row>
    <row r="481">
      <c r="A481" t="n">
        <v>480</v>
      </c>
      <c r="B481" t="inlineStr">
        <is>
          <t>3H</t>
        </is>
      </c>
      <c r="C481" t="inlineStr">
        <is>
          <t>3G</t>
        </is>
      </c>
      <c r="D481" t="inlineStr">
        <is>
          <t>3B</t>
        </is>
      </c>
      <c r="E481" t="inlineStr">
        <is>
          <t>3C</t>
        </is>
      </c>
      <c r="F481" t="inlineStr">
        <is>
          <t>3A</t>
        </is>
      </c>
      <c r="G481" t="inlineStr">
        <is>
          <t>3D</t>
        </is>
      </c>
      <c r="H481" t="inlineStr">
        <is>
          <t>3E</t>
        </is>
      </c>
      <c r="I481" t="inlineStr">
        <is>
          <t>3I</t>
        </is>
      </c>
      <c r="J481" t="inlineStr">
        <is>
          <t>ABCDEGHI</t>
        </is>
      </c>
    </row>
    <row r="482">
      <c r="A482" t="n">
        <v>481</v>
      </c>
      <c r="B482" t="inlineStr">
        <is>
          <t>3C</t>
        </is>
      </c>
      <c r="C482" t="inlineStr">
        <is>
          <t>3E</t>
        </is>
      </c>
      <c r="D482" t="inlineStr">
        <is>
          <t>3B</t>
        </is>
      </c>
      <c r="E482" t="inlineStr">
        <is>
          <t>3D</t>
        </is>
      </c>
      <c r="F482" t="inlineStr">
        <is>
          <t>3A</t>
        </is>
      </c>
      <c r="G482" t="inlineStr">
        <is>
          <t>3F</t>
        </is>
      </c>
      <c r="H482" t="inlineStr">
        <is>
          <t>3L</t>
        </is>
      </c>
      <c r="I482" t="inlineStr">
        <is>
          <t>3K</t>
        </is>
      </c>
      <c r="J482" t="inlineStr">
        <is>
          <t>ABCDEFKL</t>
        </is>
      </c>
    </row>
    <row r="483">
      <c r="A483" t="n">
        <v>482</v>
      </c>
      <c r="B483" t="inlineStr">
        <is>
          <t>3C</t>
        </is>
      </c>
      <c r="C483" t="inlineStr">
        <is>
          <t>3J</t>
        </is>
      </c>
      <c r="D483" t="inlineStr">
        <is>
          <t>3B</t>
        </is>
      </c>
      <c r="E483" t="inlineStr">
        <is>
          <t>3D</t>
        </is>
      </c>
      <c r="F483" t="inlineStr">
        <is>
          <t>3A</t>
        </is>
      </c>
      <c r="G483" t="inlineStr">
        <is>
          <t>3F</t>
        </is>
      </c>
      <c r="H483" t="inlineStr">
        <is>
          <t>3L</t>
        </is>
      </c>
      <c r="I483" t="inlineStr">
        <is>
          <t>3E</t>
        </is>
      </c>
      <c r="J483" t="inlineStr">
        <is>
          <t>ABCDEFJL</t>
        </is>
      </c>
    </row>
    <row r="484">
      <c r="A484" t="n">
        <v>483</v>
      </c>
      <c r="B484" t="inlineStr">
        <is>
          <t>3C</t>
        </is>
      </c>
      <c r="C484" t="inlineStr">
        <is>
          <t>3J</t>
        </is>
      </c>
      <c r="D484" t="inlineStr">
        <is>
          <t>3B</t>
        </is>
      </c>
      <c r="E484" t="inlineStr">
        <is>
          <t>3D</t>
        </is>
      </c>
      <c r="F484" t="inlineStr">
        <is>
          <t>3A</t>
        </is>
      </c>
      <c r="G484" t="inlineStr">
        <is>
          <t>3F</t>
        </is>
      </c>
      <c r="H484" t="inlineStr">
        <is>
          <t>3E</t>
        </is>
      </c>
      <c r="I484" t="inlineStr">
        <is>
          <t>3K</t>
        </is>
      </c>
      <c r="J484" t="inlineStr">
        <is>
          <t>ABCDEFJK</t>
        </is>
      </c>
    </row>
    <row r="485">
      <c r="A485" t="n">
        <v>484</v>
      </c>
      <c r="B485" t="inlineStr">
        <is>
          <t>3C</t>
        </is>
      </c>
      <c r="C485" t="inlineStr">
        <is>
          <t>3E</t>
        </is>
      </c>
      <c r="D485" t="inlineStr">
        <is>
          <t>3B</t>
        </is>
      </c>
      <c r="E485" t="inlineStr">
        <is>
          <t>3D</t>
        </is>
      </c>
      <c r="F485" t="inlineStr">
        <is>
          <t>3A</t>
        </is>
      </c>
      <c r="G485" t="inlineStr">
        <is>
          <t>3F</t>
        </is>
      </c>
      <c r="H485" t="inlineStr">
        <is>
          <t>3L</t>
        </is>
      </c>
      <c r="I485" t="inlineStr">
        <is>
          <t>3I</t>
        </is>
      </c>
      <c r="J485" t="inlineStr">
        <is>
          <t>ABCDEFIL</t>
        </is>
      </c>
    </row>
    <row r="486">
      <c r="A486" t="n">
        <v>485</v>
      </c>
      <c r="B486" t="inlineStr">
        <is>
          <t>3C</t>
        </is>
      </c>
      <c r="C486" t="inlineStr">
        <is>
          <t>3E</t>
        </is>
      </c>
      <c r="D486" t="inlineStr">
        <is>
          <t>3B</t>
        </is>
      </c>
      <c r="E486" t="inlineStr">
        <is>
          <t>3D</t>
        </is>
      </c>
      <c r="F486" t="inlineStr">
        <is>
          <t>3A</t>
        </is>
      </c>
      <c r="G486" t="inlineStr">
        <is>
          <t>3F</t>
        </is>
      </c>
      <c r="H486" t="inlineStr">
        <is>
          <t>3I</t>
        </is>
      </c>
      <c r="I486" t="inlineStr">
        <is>
          <t>3K</t>
        </is>
      </c>
      <c r="J486" t="inlineStr">
        <is>
          <t>ABCDEFIK</t>
        </is>
      </c>
    </row>
    <row r="487">
      <c r="A487" t="n">
        <v>486</v>
      </c>
      <c r="B487" t="inlineStr">
        <is>
          <t>3C</t>
        </is>
      </c>
      <c r="C487" t="inlineStr">
        <is>
          <t>3J</t>
        </is>
      </c>
      <c r="D487" t="inlineStr">
        <is>
          <t>3B</t>
        </is>
      </c>
      <c r="E487" t="inlineStr">
        <is>
          <t>3D</t>
        </is>
      </c>
      <c r="F487" t="inlineStr">
        <is>
          <t>3A</t>
        </is>
      </c>
      <c r="G487" t="inlineStr">
        <is>
          <t>3F</t>
        </is>
      </c>
      <c r="H487" t="inlineStr">
        <is>
          <t>3E</t>
        </is>
      </c>
      <c r="I487" t="inlineStr">
        <is>
          <t>3I</t>
        </is>
      </c>
      <c r="J487" t="inlineStr">
        <is>
          <t>ABCDEFIJ</t>
        </is>
      </c>
    </row>
    <row r="488">
      <c r="A488" t="n">
        <v>487</v>
      </c>
      <c r="B488" t="inlineStr">
        <is>
          <t>3H</t>
        </is>
      </c>
      <c r="C488" t="inlineStr">
        <is>
          <t>3F</t>
        </is>
      </c>
      <c r="D488" t="inlineStr">
        <is>
          <t>3B</t>
        </is>
      </c>
      <c r="E488" t="inlineStr">
        <is>
          <t>3C</t>
        </is>
      </c>
      <c r="F488" t="inlineStr">
        <is>
          <t>3A</t>
        </is>
      </c>
      <c r="G488" t="inlineStr">
        <is>
          <t>3D</t>
        </is>
      </c>
      <c r="H488" t="inlineStr">
        <is>
          <t>3L</t>
        </is>
      </c>
      <c r="I488" t="inlineStr">
        <is>
          <t>3E</t>
        </is>
      </c>
      <c r="J488" t="inlineStr">
        <is>
          <t>ABCDEFHL</t>
        </is>
      </c>
    </row>
    <row r="489">
      <c r="A489" t="n">
        <v>488</v>
      </c>
      <c r="B489" t="inlineStr">
        <is>
          <t>3H</t>
        </is>
      </c>
      <c r="C489" t="inlineStr">
        <is>
          <t>3E</t>
        </is>
      </c>
      <c r="D489" t="inlineStr">
        <is>
          <t>3B</t>
        </is>
      </c>
      <c r="E489" t="inlineStr">
        <is>
          <t>3C</t>
        </is>
      </c>
      <c r="F489" t="inlineStr">
        <is>
          <t>3A</t>
        </is>
      </c>
      <c r="G489" t="inlineStr">
        <is>
          <t>3F</t>
        </is>
      </c>
      <c r="H489" t="inlineStr">
        <is>
          <t>3D</t>
        </is>
      </c>
      <c r="I489" t="inlineStr">
        <is>
          <t>3K</t>
        </is>
      </c>
      <c r="J489" t="inlineStr">
        <is>
          <t>ABCDEFHK</t>
        </is>
      </c>
    </row>
    <row r="490">
      <c r="A490" t="n">
        <v>489</v>
      </c>
      <c r="B490" t="inlineStr">
        <is>
          <t>3H</t>
        </is>
      </c>
      <c r="C490" t="inlineStr">
        <is>
          <t>3J</t>
        </is>
      </c>
      <c r="D490" t="inlineStr">
        <is>
          <t>3B</t>
        </is>
      </c>
      <c r="E490" t="inlineStr">
        <is>
          <t>3C</t>
        </is>
      </c>
      <c r="F490" t="inlineStr">
        <is>
          <t>3A</t>
        </is>
      </c>
      <c r="G490" t="inlineStr">
        <is>
          <t>3F</t>
        </is>
      </c>
      <c r="H490" t="inlineStr">
        <is>
          <t>3D</t>
        </is>
      </c>
      <c r="I490" t="inlineStr">
        <is>
          <t>3E</t>
        </is>
      </c>
      <c r="J490" t="inlineStr">
        <is>
          <t>ABCDEFHJ</t>
        </is>
      </c>
    </row>
    <row r="491">
      <c r="A491" t="n">
        <v>490</v>
      </c>
      <c r="B491" t="inlineStr">
        <is>
          <t>3H</t>
        </is>
      </c>
      <c r="C491" t="inlineStr">
        <is>
          <t>3E</t>
        </is>
      </c>
      <c r="D491" t="inlineStr">
        <is>
          <t>3B</t>
        </is>
      </c>
      <c r="E491" t="inlineStr">
        <is>
          <t>3C</t>
        </is>
      </c>
      <c r="F491" t="inlineStr">
        <is>
          <t>3A</t>
        </is>
      </c>
      <c r="G491" t="inlineStr">
        <is>
          <t>3F</t>
        </is>
      </c>
      <c r="H491" t="inlineStr">
        <is>
          <t>3D</t>
        </is>
      </c>
      <c r="I491" t="inlineStr">
        <is>
          <t>3I</t>
        </is>
      </c>
      <c r="J491" t="inlineStr">
        <is>
          <t>ABCDEFHI</t>
        </is>
      </c>
    </row>
    <row r="492">
      <c r="A492" t="n">
        <v>491</v>
      </c>
      <c r="B492" t="inlineStr">
        <is>
          <t>3C</t>
        </is>
      </c>
      <c r="C492" t="inlineStr">
        <is>
          <t>3G</t>
        </is>
      </c>
      <c r="D492" t="inlineStr">
        <is>
          <t>3B</t>
        </is>
      </c>
      <c r="E492" t="inlineStr">
        <is>
          <t>3D</t>
        </is>
      </c>
      <c r="F492" t="inlineStr">
        <is>
          <t>3A</t>
        </is>
      </c>
      <c r="G492" t="inlineStr">
        <is>
          <t>3F</t>
        </is>
      </c>
      <c r="H492" t="inlineStr">
        <is>
          <t>3L</t>
        </is>
      </c>
      <c r="I492" t="inlineStr">
        <is>
          <t>3E</t>
        </is>
      </c>
      <c r="J492" t="inlineStr">
        <is>
          <t>ABCDEFGL</t>
        </is>
      </c>
    </row>
    <row r="493">
      <c r="A493" t="n">
        <v>492</v>
      </c>
      <c r="B493" t="inlineStr">
        <is>
          <t>3C</t>
        </is>
      </c>
      <c r="C493" t="inlineStr">
        <is>
          <t>3G</t>
        </is>
      </c>
      <c r="D493" t="inlineStr">
        <is>
          <t>3B</t>
        </is>
      </c>
      <c r="E493" t="inlineStr">
        <is>
          <t>3D</t>
        </is>
      </c>
      <c r="F493" t="inlineStr">
        <is>
          <t>3A</t>
        </is>
      </c>
      <c r="G493" t="inlineStr">
        <is>
          <t>3F</t>
        </is>
      </c>
      <c r="H493" t="inlineStr">
        <is>
          <t>3E</t>
        </is>
      </c>
      <c r="I493" t="inlineStr">
        <is>
          <t>3K</t>
        </is>
      </c>
      <c r="J493" t="inlineStr">
        <is>
          <t>ABCDEFGK</t>
        </is>
      </c>
    </row>
    <row r="494">
      <c r="A494" t="n">
        <v>493</v>
      </c>
      <c r="B494" t="inlineStr">
        <is>
          <t>3C</t>
        </is>
      </c>
      <c r="C494" t="inlineStr">
        <is>
          <t>3G</t>
        </is>
      </c>
      <c r="D494" t="inlineStr">
        <is>
          <t>3B</t>
        </is>
      </c>
      <c r="E494" t="inlineStr">
        <is>
          <t>3D</t>
        </is>
      </c>
      <c r="F494" t="inlineStr">
        <is>
          <t>3A</t>
        </is>
      </c>
      <c r="G494" t="inlineStr">
        <is>
          <t>3F</t>
        </is>
      </c>
      <c r="H494" t="inlineStr">
        <is>
          <t>3E</t>
        </is>
      </c>
      <c r="I494" t="inlineStr">
        <is>
          <t>3J</t>
        </is>
      </c>
      <c r="J494" t="inlineStr">
        <is>
          <t>ABCDEFGJ</t>
        </is>
      </c>
    </row>
    <row r="495">
      <c r="A495" t="n">
        <v>494</v>
      </c>
      <c r="B495" t="inlineStr">
        <is>
          <t>3C</t>
        </is>
      </c>
      <c r="C495" t="inlineStr">
        <is>
          <t>3G</t>
        </is>
      </c>
      <c r="D495" t="inlineStr">
        <is>
          <t>3B</t>
        </is>
      </c>
      <c r="E495" t="inlineStr">
        <is>
          <t>3D</t>
        </is>
      </c>
      <c r="F495" t="inlineStr">
        <is>
          <t>3A</t>
        </is>
      </c>
      <c r="G495" t="inlineStr">
        <is>
          <t>3F</t>
        </is>
      </c>
      <c r="H495" t="inlineStr">
        <is>
          <t>3E</t>
        </is>
      </c>
      <c r="I495" t="inlineStr">
        <is>
          <t>3I</t>
        </is>
      </c>
      <c r="J495" t="inlineStr">
        <is>
          <t>ABCDEFGI</t>
        </is>
      </c>
    </row>
    <row r="496">
      <c r="A496" t="n">
        <v>495</v>
      </c>
      <c r="B496" t="inlineStr">
        <is>
          <t>3H</t>
        </is>
      </c>
      <c r="C496" t="inlineStr">
        <is>
          <t>3G</t>
        </is>
      </c>
      <c r="D496" t="inlineStr">
        <is>
          <t>3B</t>
        </is>
      </c>
      <c r="E496" t="inlineStr">
        <is>
          <t>3C</t>
        </is>
      </c>
      <c r="F496" t="inlineStr">
        <is>
          <t>3A</t>
        </is>
      </c>
      <c r="G496" t="inlineStr">
        <is>
          <t>3F</t>
        </is>
      </c>
      <c r="H496" t="inlineStr">
        <is>
          <t>3D</t>
        </is>
      </c>
      <c r="I496" t="inlineStr">
        <is>
          <t>3E</t>
        </is>
      </c>
      <c r="J496" t="inlineStr">
        <is>
          <t>ABCDEFGH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42" customWidth="1" style="28" min="2" max="2"/>
    <col width="95" customWidth="1" style="28" min="3" max="3"/>
    <col width="22" customWidth="1" style="28" min="4" max="4"/>
  </cols>
  <sheetData>
    <row r="1">
      <c r="A1" s="264" t="inlineStr">
        <is>
          <t>Source</t>
        </is>
      </c>
      <c r="B1" s="264" t="inlineStr">
        <is>
          <t>Use</t>
        </is>
      </c>
      <c r="C1" s="264" t="inlineStr">
        <is>
          <t>URL</t>
        </is>
      </c>
      <c r="D1" s="264" t="inlineStr">
        <is>
          <t>Timestamp</t>
        </is>
      </c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</row>
    <row r="2">
      <c r="A2" s="267" t="inlineStr">
        <is>
          <t>FIFA schedule</t>
        </is>
      </c>
      <c r="B2" s="267" t="inlineStr">
        <is>
          <t>Official fixtures, venues and knockout match IDs</t>
        </is>
      </c>
      <c r="C2" s="267" t="inlineStr">
        <is>
          <t>https://www.fifa.com/en/tournaments/mens/worldcup/canadamexicousa2026/articles/match-schedule-fixtures-results-teams-stadiums</t>
        </is>
      </c>
      <c r="D2" s="267" t="inlineStr">
        <is>
          <t>16 Jun 2026, 15:30 UTC</t>
        </is>
      </c>
    </row>
    <row r="3">
      <c r="A3" s="267" t="inlineStr">
        <is>
          <t>ESPN fixtures/results</t>
        </is>
      </c>
      <c r="B3" s="267" t="inlineStr">
        <is>
          <t>Completed group scores and full schedule cross-check</t>
        </is>
      </c>
      <c r="C3" s="267" t="inlineStr">
        <is>
          <t>https://www.espn.com/soccer/story/_/id/48939282/2026-fifa-world-cup-fixtures-results-match-schedule-group-stage-knockout-rounds-bracket</t>
        </is>
      </c>
      <c r="D3" s="267" t="inlineStr">
        <is>
          <t>16 Jun 2026, 15:30 UTC</t>
        </is>
      </c>
    </row>
    <row r="4">
      <c r="A4" s="267" t="inlineStr">
        <is>
          <t>FIFA regulations PDF</t>
        </is>
      </c>
      <c r="B4" s="267" t="inlineStr">
        <is>
          <t>Official format and Annex C third-place matrix</t>
        </is>
      </c>
      <c r="C4" s="267" t="inlineStr">
        <is>
          <t>https://cdn.thuvienphapluat.vn/phap-luat/2022-2/TTKP/FWC26-regulations.pdf</t>
        </is>
      </c>
      <c r="D4" s="267" t="inlineStr">
        <is>
          <t>16 Jun 2026, 15:30 UTC</t>
        </is>
      </c>
    </row>
    <row r="5">
      <c r="A5" s="267" t="inlineStr">
        <is>
          <t>ESPN scoreboard endpoint</t>
        </is>
      </c>
      <c r="B5" s="267" t="inlineStr">
        <is>
          <t>Used by HTML live file for browser refresh attempts</t>
        </is>
      </c>
      <c r="C5" s="267" t="inlineStr">
        <is>
          <t>https://site.api.espn.com/apis/site/v2/sports/soccer/fifa.world/scoreboard?dates=YYYYMMDD&amp;limit=100</t>
        </is>
      </c>
      <c r="D5" s="267" t="inlineStr">
        <is>
          <t>16 Jun 2026, 15:30 UTC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8" customWidth="1" style="28" min="1" max="1"/>
    <col width="95" customWidth="1" style="28" min="2" max="2"/>
  </cols>
  <sheetData>
    <row r="1">
      <c r="A1" s="397" t="inlineStr">
        <is>
          <t>Live update notes</t>
        </is>
      </c>
      <c r="B1" s="1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</row>
    <row r="3">
      <c r="A3" s="264" t="inlineStr">
        <is>
          <t>Automatic file</t>
        </is>
      </c>
      <c r="B3" s="267" t="inlineStr">
        <is>
          <t>Use the HTML file delivered with this workbook. It tries ESPN scoreboard fetches on load and every five minutes.</t>
        </is>
      </c>
    </row>
    <row r="4">
      <c r="A4" s="264" t="inlineStr">
        <is>
          <t>Excel update method</t>
        </is>
      </c>
      <c r="B4" s="267" t="inlineStr">
        <is>
          <t>This xlsx is macro-free. When scores in Match Results are updated manually or by a connected external process, all formulas recalculate.</t>
        </is>
      </c>
    </row>
    <row r="5">
      <c r="A5" s="264" t="inlineStr">
        <is>
          <t>Score input cells</t>
        </is>
      </c>
      <c r="B5" s="267" t="inlineStr">
        <is>
          <t>Match Results!E4:F75 for group-stage scores. Tournament Map yellow score and Pick cells for knockout overrides.</t>
        </is>
      </c>
    </row>
    <row r="6">
      <c r="A6" s="264" t="inlineStr">
        <is>
          <t>Scoreboard endpoint pattern</t>
        </is>
      </c>
      <c r="B6" s="267" t="inlineStr">
        <is>
          <t>https://site.api.espn.com/apis/site/v2/sports/soccer/fifa.world/scoreboard?dates=YYYYMMDD&amp;limit=100</t>
        </is>
      </c>
    </row>
    <row r="7">
      <c r="A7" s="264" t="inlineStr">
        <is>
          <t>Date range</t>
        </is>
      </c>
      <c r="B7" s="267" t="inlineStr">
        <is>
          <t>20260611 to 20260719</t>
        </is>
      </c>
    </row>
    <row r="8">
      <c r="A8" s="264" t="inlineStr">
        <is>
          <t>Data caveat</t>
        </is>
      </c>
      <c r="B8" s="267" t="inlineStr">
        <is>
          <t>Team names from live feeds can vary, so the HTML includes aliases such as United States to USA and Iran to IR Iran.</t>
        </is>
      </c>
    </row>
    <row r="9">
      <c r="A9" s="264" t="inlineStr">
        <is>
          <t>Fallback</t>
        </is>
      </c>
      <c r="B9" s="267" t="inlineStr">
        <is>
          <t>If the live endpoint is blocked by the browser, use manual score entry.</t>
        </is>
      </c>
    </row>
    <row r="10">
      <c r="A10" s="264" t="inlineStr">
        <is>
          <t>Last baked update</t>
        </is>
      </c>
      <c r="B10" s="267" t="inlineStr">
        <is>
          <t>16 Jun 2026, 15:30 UTC</t>
        </is>
      </c>
    </row>
    <row r="11">
      <c r="A11" s="264" t="inlineStr">
        <is>
          <t>Sources</t>
        </is>
      </c>
      <c r="B11" s="267" t="inlineStr">
        <is>
          <t>See the Sources sheet for plain-text URLs.</t>
        </is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128"/>
  <sheetViews>
    <sheetView workbookViewId="0">
      <selection activeCell="A1" sqref="A1"/>
    </sheetView>
  </sheetViews>
  <sheetFormatPr baseColWidth="8" defaultRowHeight="15"/>
  <cols>
    <col width="5.900000095367432" customWidth="1" style="28" min="1" max="1"/>
    <col width="5.900000095367432" customWidth="1" style="28" min="2" max="2"/>
    <col width="5.900000095367432" customWidth="1" style="28" min="3" max="3"/>
    <col width="5.900000095367432" customWidth="1" style="28" min="4" max="4"/>
    <col width="3" customWidth="1" style="28" min="5" max="5"/>
    <col width="5.900000095367432" customWidth="1" style="28" min="6" max="6"/>
    <col width="5.900000095367432" customWidth="1" style="28" min="7" max="7"/>
    <col width="5.900000095367432" customWidth="1" style="28" min="8" max="8"/>
    <col width="5.900000095367432" customWidth="1" style="28" min="9" max="9"/>
    <col width="3" customWidth="1" style="28" min="10" max="10"/>
    <col width="5.900000095367432" customWidth="1" style="28" min="11" max="11"/>
    <col width="5.900000095367432" customWidth="1" style="28" min="12" max="12"/>
    <col width="5.900000095367432" customWidth="1" style="28" min="13" max="13"/>
    <col width="5.900000095367432" customWidth="1" style="28" min="14" max="14"/>
    <col width="3" customWidth="1" style="28" min="15" max="15"/>
    <col width="5.900000095367432" customWidth="1" style="28" min="16" max="16"/>
    <col width="5.900000095367432" customWidth="1" style="28" min="17" max="17"/>
    <col width="5.900000095367432" customWidth="1" style="28" min="18" max="18"/>
    <col width="5.900000095367432" customWidth="1" style="28" min="19" max="19"/>
    <col width="3" customWidth="1" style="28" min="20" max="20"/>
    <col width="5.900000095367432" customWidth="1" style="28" min="21" max="21"/>
    <col width="5.900000095367432" customWidth="1" style="28" min="22" max="22"/>
    <col width="5.900000095367432" customWidth="1" style="28" min="23" max="23"/>
    <col width="5.900000095367432" customWidth="1" style="28" min="24" max="24"/>
    <col width="3" customWidth="1" style="28" min="25" max="25"/>
    <col width="5.900000095367432" customWidth="1" style="28" min="26" max="26"/>
    <col width="5.900000095367432" customWidth="1" style="28" min="27" max="27"/>
    <col width="5.900000095367432" customWidth="1" style="28" min="28" max="28"/>
    <col width="5.900000095367432" customWidth="1" style="28" min="29" max="29"/>
    <col width="3" customWidth="1" style="28" min="30" max="30"/>
    <col width="5.900000095367432" customWidth="1" style="28" min="31" max="31"/>
    <col width="5.900000095367432" customWidth="1" style="28" min="32" max="32"/>
    <col width="5.900000095367432" customWidth="1" style="28" min="33" max="33"/>
    <col width="5.900000095367432" customWidth="1" style="28" min="34" max="34"/>
    <col width="3" customWidth="1" style="28" min="35" max="35"/>
    <col width="5.900000095367432" customWidth="1" style="28" min="36" max="36"/>
    <col width="5.900000095367432" customWidth="1" style="28" min="37" max="37"/>
    <col width="5.900000095367432" customWidth="1" style="28" min="38" max="38"/>
    <col width="5.900000095367432" customWidth="1" style="28" min="39" max="39"/>
    <col width="3" customWidth="1" style="28" min="40" max="40"/>
    <col width="5.900000095367432" customWidth="1" style="28" min="41" max="41"/>
    <col width="5.900000095367432" customWidth="1" style="28" min="42" max="42"/>
    <col width="5.900000095367432" customWidth="1" style="28" min="43" max="43"/>
    <col width="5.900000095367432" customWidth="1" style="28" min="44" max="44"/>
    <col width="3" customWidth="1" style="28" min="45" max="45"/>
    <col width="3" customWidth="1" style="28" min="46" max="46"/>
    <col width="3" customWidth="1" style="28" min="47" max="47"/>
    <col width="3" customWidth="1" style="28" min="48" max="48"/>
    <col width="3" customWidth="1" style="28" min="49" max="49"/>
    <col width="3" customWidth="1" style="28" min="50" max="50"/>
    <col width="3" customWidth="1" style="28" min="51" max="51"/>
    <col width="3" customWidth="1" style="28" min="52" max="52"/>
  </cols>
  <sheetData>
    <row r="1" ht="26" customHeight="1" s="28">
      <c r="A1" s="410" t="inlineStr">
        <is>
          <t>FIFA 2026 Tournament Progress Map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293" t="n"/>
      <c r="AT1" s="293" t="n"/>
      <c r="AU1" s="293" t="n"/>
      <c r="AV1" s="293" t="n"/>
      <c r="AW1" s="293" t="n"/>
      <c r="AX1" s="293" t="n"/>
      <c r="AY1" s="293" t="n"/>
      <c r="AZ1" s="293" t="n"/>
    </row>
    <row r="2" ht="22" customHeight="1" s="28">
      <c r="A2" s="411" t="inlineStr">
        <is>
          <t>Knockout pitch view with embedded PNG flag images. Yellow score and pick cells are editable. Winners flow through automatically.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293" t="n"/>
      <c r="AT2" s="293" t="n"/>
      <c r="AU2" s="311" t="n"/>
      <c r="AV2" s="293" t="n"/>
      <c r="AW2" s="293" t="n"/>
      <c r="AX2" s="293" t="n"/>
      <c r="AY2" s="293" t="n"/>
      <c r="AZ2" s="293" t="n"/>
    </row>
    <row r="3" ht="25" customHeight="1" s="28">
      <c r="A3" s="412" t="inlineStr">
        <is>
          <t>ROUND OF 32</t>
        </is>
      </c>
      <c r="B3" s="1" t="n"/>
      <c r="C3" s="1" t="n"/>
      <c r="D3" s="1" t="n"/>
      <c r="E3" s="293" t="n"/>
      <c r="F3" s="412" t="inlineStr">
        <is>
          <t>ROUND OF 16</t>
        </is>
      </c>
      <c r="G3" s="1" t="n"/>
      <c r="H3" s="1" t="n"/>
      <c r="I3" s="1" t="n"/>
      <c r="J3" s="293" t="n"/>
      <c r="K3" s="412" t="inlineStr">
        <is>
          <t>QUARTERFINALS</t>
        </is>
      </c>
      <c r="L3" s="1" t="n"/>
      <c r="M3" s="1" t="n"/>
      <c r="N3" s="1" t="n"/>
      <c r="O3" s="293" t="n"/>
      <c r="P3" s="412" t="inlineStr">
        <is>
          <t>SEMI FINALS</t>
        </is>
      </c>
      <c r="Q3" s="1" t="n"/>
      <c r="R3" s="1" t="n"/>
      <c r="S3" s="1" t="n"/>
      <c r="T3" s="293" t="n"/>
      <c r="U3" s="412" t="inlineStr">
        <is>
          <t>FINAL</t>
        </is>
      </c>
      <c r="V3" s="1" t="n"/>
      <c r="W3" s="1" t="n"/>
      <c r="X3" s="1" t="n"/>
      <c r="Y3" s="293" t="n"/>
      <c r="Z3" s="412" t="inlineStr">
        <is>
          <t>SEMI FINALS</t>
        </is>
      </c>
      <c r="AA3" s="1" t="n"/>
      <c r="AB3" s="1" t="n"/>
      <c r="AC3" s="1" t="n"/>
      <c r="AD3" s="293" t="n"/>
      <c r="AE3" s="412" t="inlineStr">
        <is>
          <t>QUARTERFINALS</t>
        </is>
      </c>
      <c r="AF3" s="1" t="n"/>
      <c r="AG3" s="1" t="n"/>
      <c r="AH3" s="1" t="n"/>
      <c r="AI3" s="293" t="n"/>
      <c r="AJ3" s="412" t="inlineStr">
        <is>
          <t>ROUND OF 16</t>
        </is>
      </c>
      <c r="AK3" s="1" t="n"/>
      <c r="AL3" s="1" t="n"/>
      <c r="AM3" s="1" t="n"/>
      <c r="AN3" s="293" t="n"/>
      <c r="AO3" s="412" t="inlineStr">
        <is>
          <t>ROUND OF 32</t>
        </is>
      </c>
      <c r="AP3" s="1" t="n"/>
      <c r="AQ3" s="1" t="n"/>
      <c r="AR3" s="1" t="n"/>
      <c r="AS3" s="293" t="n"/>
      <c r="AT3" s="293" t="n"/>
      <c r="AU3" s="311">
        <f>'Tournament Map'!A7</f>
        <v/>
      </c>
      <c r="AV3" s="293" t="n"/>
      <c r="AW3" s="293" t="n"/>
      <c r="AX3" s="293" t="n"/>
      <c r="AY3" s="293" t="n"/>
      <c r="AZ3" s="293" t="n"/>
    </row>
    <row r="4" ht="18" customHeight="1" s="28">
      <c r="A4" s="293" t="n"/>
      <c r="B4" s="293" t="n"/>
      <c r="C4" s="293" t="n"/>
      <c r="D4" s="293" t="n"/>
      <c r="E4" s="293" t="n"/>
      <c r="F4" s="293" t="n"/>
      <c r="G4" s="293" t="n"/>
      <c r="H4" s="293" t="n"/>
      <c r="I4" s="293" t="n"/>
      <c r="J4" s="293" t="n"/>
      <c r="K4" s="293" t="n"/>
      <c r="L4" s="293" t="n"/>
      <c r="M4" s="293" t="n"/>
      <c r="N4" s="293" t="n"/>
      <c r="O4" s="293" t="n"/>
      <c r="P4" s="293" t="n"/>
      <c r="Q4" s="293" t="n"/>
      <c r="R4" s="293" t="n"/>
      <c r="S4" s="293" t="n"/>
      <c r="T4" s="293" t="n"/>
      <c r="U4" s="413">
        <f>IF('Tournament Map'!U5="","Champion TBD","Champion: "&amp;'Tournament Map'!U5)</f>
        <v/>
      </c>
      <c r="V4" s="1" t="n"/>
      <c r="W4" s="1" t="n"/>
      <c r="X4" s="1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311">
        <f>'Tournament Map'!A8</f>
        <v/>
      </c>
      <c r="AV4" s="293" t="n"/>
      <c r="AW4" s="293" t="n"/>
      <c r="AX4" s="293" t="n"/>
      <c r="AY4" s="293" t="n"/>
      <c r="AZ4" s="293" t="n"/>
    </row>
    <row r="5" ht="18" customHeight="1" s="28">
      <c r="A5" s="414" t="inlineStr">
        <is>
          <t>M74 | Round of 32</t>
        </is>
      </c>
      <c r="B5" s="1" t="n"/>
      <c r="C5" s="1" t="n"/>
      <c r="D5" s="1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1" t="n"/>
      <c r="V5" s="1" t="n"/>
      <c r="W5" s="1" t="n"/>
      <c r="X5" s="1" t="n"/>
      <c r="Y5" s="364" t="n"/>
      <c r="Z5" s="364" t="n"/>
      <c r="AA5" s="364" t="n"/>
      <c r="AB5" s="364" t="n"/>
      <c r="AC5" s="364" t="n"/>
      <c r="AD5" s="364" t="n"/>
      <c r="AE5" s="364" t="n"/>
      <c r="AF5" s="364" t="n"/>
      <c r="AG5" s="364" t="n"/>
      <c r="AH5" s="364" t="n"/>
      <c r="AI5" s="364" t="n"/>
      <c r="AJ5" s="364" t="n"/>
      <c r="AK5" s="364" t="n"/>
      <c r="AL5" s="364" t="n"/>
      <c r="AM5" s="364" t="n"/>
      <c r="AN5" s="364" t="n"/>
      <c r="AO5" s="414" t="inlineStr">
        <is>
          <t>M76 | Round of 32</t>
        </is>
      </c>
      <c r="AP5" s="1" t="n"/>
      <c r="AQ5" s="1" t="n"/>
      <c r="AR5" s="1" t="n"/>
      <c r="AS5" s="293" t="n"/>
      <c r="AT5" s="293" t="n"/>
      <c r="AU5" s="293" t="n"/>
      <c r="AV5" s="293" t="n"/>
      <c r="AW5" s="293" t="n"/>
      <c r="AX5" s="293" t="n"/>
      <c r="AY5" s="293" t="n"/>
      <c r="AZ5" s="293" t="n"/>
    </row>
    <row r="6" ht="18" customHeight="1" s="28">
      <c r="A6" s="415">
        <f>IF('Tournament Map'!A7="","",'Tournament Map'!A7)</f>
        <v/>
      </c>
      <c r="B6" s="1" t="n"/>
      <c r="C6" s="1" t="n"/>
      <c r="D6" s="372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4" t="n"/>
      <c r="AG6" s="364" t="n"/>
      <c r="AH6" s="364" t="n"/>
      <c r="AI6" s="364" t="n"/>
      <c r="AJ6" s="364" t="n"/>
      <c r="AK6" s="364" t="n"/>
      <c r="AL6" s="364" t="n"/>
      <c r="AM6" s="364" t="n"/>
      <c r="AN6" s="364" t="n"/>
      <c r="AO6" s="415">
        <f>IF('Tournament Map'!AO7="","",'Tournament Map'!AO7)</f>
        <v/>
      </c>
      <c r="AP6" s="1" t="n"/>
      <c r="AQ6" s="1" t="n"/>
      <c r="AR6" s="372" t="n"/>
      <c r="AS6" s="293" t="n"/>
      <c r="AT6" s="293" t="n"/>
      <c r="AU6" s="311" t="n"/>
      <c r="AV6" s="293" t="n"/>
      <c r="AW6" s="293" t="n"/>
      <c r="AX6" s="293" t="n"/>
      <c r="AY6" s="293" t="n"/>
      <c r="AZ6" s="293" t="n"/>
    </row>
    <row r="7" ht="18" customHeight="1" s="28">
      <c r="A7" s="415">
        <f>IF('Tournament Map'!A8="","",'Tournament Map'!A8)</f>
        <v/>
      </c>
      <c r="B7" s="1" t="n"/>
      <c r="C7" s="1" t="n"/>
      <c r="D7" s="372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416" t="inlineStr">
        <is>
          <t>Progress</t>
        </is>
      </c>
      <c r="V7" s="1" t="n"/>
      <c r="W7" s="1" t="n"/>
      <c r="X7" s="1" t="n"/>
      <c r="Y7" s="364" t="n"/>
      <c r="Z7" s="364" t="n"/>
      <c r="AA7" s="364" t="n"/>
      <c r="AB7" s="364" t="n"/>
      <c r="AC7" s="364" t="n"/>
      <c r="AD7" s="364" t="n"/>
      <c r="AE7" s="364" t="n"/>
      <c r="AF7" s="364" t="n"/>
      <c r="AG7" s="364" t="n"/>
      <c r="AH7" s="364" t="n"/>
      <c r="AI7" s="364" t="n"/>
      <c r="AJ7" s="364" t="n"/>
      <c r="AK7" s="364" t="n"/>
      <c r="AL7" s="364" t="n"/>
      <c r="AM7" s="364" t="n"/>
      <c r="AN7" s="364" t="n"/>
      <c r="AO7" s="415">
        <f>IF('Tournament Map'!AO8="","",'Tournament Map'!AO8)</f>
        <v/>
      </c>
      <c r="AP7" s="1" t="n"/>
      <c r="AQ7" s="1" t="n"/>
      <c r="AR7" s="372" t="n"/>
      <c r="AS7" s="293" t="n"/>
      <c r="AT7" s="293" t="n"/>
      <c r="AU7" s="311">
        <f>'Tournament Map'!A13</f>
        <v/>
      </c>
      <c r="AV7" s="293" t="n"/>
      <c r="AW7" s="293" t="n"/>
      <c r="AX7" s="293" t="n"/>
      <c r="AY7" s="293" t="n"/>
      <c r="AZ7" s="293" t="n"/>
    </row>
    <row r="8" ht="18" customHeight="1" s="28">
      <c r="A8" s="374" t="inlineStr">
        <is>
          <t>Pick</t>
        </is>
      </c>
      <c r="B8" s="417" t="n"/>
      <c r="C8" s="1" t="n"/>
      <c r="D8" s="1" t="n"/>
      <c r="E8" s="364" t="n"/>
      <c r="F8" s="414" t="inlineStr">
        <is>
          <t>M89 | Round of 16</t>
        </is>
      </c>
      <c r="G8" s="1" t="n"/>
      <c r="H8" s="1" t="n"/>
      <c r="I8" s="1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418" t="inlineStr">
        <is>
          <t>Matches decided</t>
        </is>
      </c>
      <c r="V8" s="1" t="n"/>
      <c r="W8" s="418">
        <f>'Tournament Map'!W9</f>
        <v/>
      </c>
      <c r="X8" s="1" t="n"/>
      <c r="Y8" s="364" t="n"/>
      <c r="Z8" s="364" t="n"/>
      <c r="AA8" s="364" t="n"/>
      <c r="AB8" s="364" t="n"/>
      <c r="AC8" s="364" t="n"/>
      <c r="AD8" s="364" t="n"/>
      <c r="AE8" s="364" t="n"/>
      <c r="AF8" s="364" t="n"/>
      <c r="AG8" s="364" t="n"/>
      <c r="AH8" s="364" t="n"/>
      <c r="AI8" s="364" t="n"/>
      <c r="AJ8" s="414" t="inlineStr">
        <is>
          <t>M91 | Round of 16</t>
        </is>
      </c>
      <c r="AK8" s="1" t="n"/>
      <c r="AL8" s="1" t="n"/>
      <c r="AM8" s="1" t="n"/>
      <c r="AN8" s="364" t="n"/>
      <c r="AO8" s="374" t="inlineStr">
        <is>
          <t>Pick</t>
        </is>
      </c>
      <c r="AP8" s="417" t="n"/>
      <c r="AQ8" s="1" t="n"/>
      <c r="AR8" s="1" t="n"/>
      <c r="AS8" s="293" t="n"/>
      <c r="AT8" s="293" t="n"/>
      <c r="AU8" s="311">
        <f>'Tournament Map'!A14</f>
        <v/>
      </c>
      <c r="AV8" s="293" t="n"/>
      <c r="AW8" s="293" t="n"/>
      <c r="AX8" s="293" t="n"/>
      <c r="AY8" s="293" t="n"/>
      <c r="AZ8" s="293" t="n"/>
    </row>
    <row r="9" ht="18" customHeight="1" s="28">
      <c r="A9" s="419">
        <f>IF('Tournament Map'!B9="","","Winner: "&amp;'Tournament Map'!B9)</f>
        <v/>
      </c>
      <c r="B9" s="1" t="n"/>
      <c r="C9" s="1" t="n"/>
      <c r="D9" s="1" t="n"/>
      <c r="E9" s="364" t="n"/>
      <c r="F9" s="415">
        <f>IF('Tournament Map'!F10="","",'Tournament Map'!F10)</f>
        <v/>
      </c>
      <c r="G9" s="1" t="n"/>
      <c r="H9" s="1" t="n"/>
      <c r="I9" s="372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418" t="inlineStr">
        <is>
          <t>Completion</t>
        </is>
      </c>
      <c r="V9" s="1" t="n"/>
      <c r="W9" s="420">
        <f>'Tournament Map'!W10</f>
        <v/>
      </c>
      <c r="X9" s="1" t="n"/>
      <c r="Y9" s="364" t="n"/>
      <c r="Z9" s="364" t="n"/>
      <c r="AA9" s="364" t="n"/>
      <c r="AB9" s="364" t="n"/>
      <c r="AC9" s="364" t="n"/>
      <c r="AD9" s="364" t="n"/>
      <c r="AE9" s="364" t="n"/>
      <c r="AF9" s="364" t="n"/>
      <c r="AG9" s="364" t="n"/>
      <c r="AH9" s="364" t="n"/>
      <c r="AI9" s="364" t="n"/>
      <c r="AJ9" s="415">
        <f>IF('Tournament Map'!AJ10="","",'Tournament Map'!AJ10)</f>
        <v/>
      </c>
      <c r="AK9" s="1" t="n"/>
      <c r="AL9" s="1" t="n"/>
      <c r="AM9" s="372" t="n"/>
      <c r="AN9" s="364" t="n"/>
      <c r="AO9" s="419">
        <f>IF('Tournament Map'!AP9="","","Winner: "&amp;'Tournament Map'!AP9)</f>
        <v/>
      </c>
      <c r="AP9" s="1" t="n"/>
      <c r="AQ9" s="1" t="n"/>
      <c r="AR9" s="1" t="n"/>
      <c r="AS9" s="293" t="n"/>
      <c r="AT9" s="293" t="n"/>
      <c r="AU9" s="293" t="n"/>
      <c r="AV9" s="293" t="n"/>
      <c r="AW9" s="293" t="n"/>
      <c r="AX9" s="293" t="n"/>
      <c r="AY9" s="293" t="n"/>
      <c r="AZ9" s="293" t="n"/>
    </row>
    <row r="10" ht="18" customHeight="1" s="28">
      <c r="A10" s="364" t="n"/>
      <c r="B10" s="364" t="n"/>
      <c r="C10" s="364" t="n"/>
      <c r="D10" s="364" t="n"/>
      <c r="E10" s="364" t="n"/>
      <c r="F10" s="415">
        <f>IF('Tournament Map'!F11="","",'Tournament Map'!F11)</f>
        <v/>
      </c>
      <c r="G10" s="1" t="n"/>
      <c r="H10" s="1" t="n"/>
      <c r="I10" s="372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4" t="n"/>
      <c r="AJ10" s="415">
        <f>IF('Tournament Map'!AJ11="","",'Tournament Map'!AJ11)</f>
        <v/>
      </c>
      <c r="AK10" s="1" t="n"/>
      <c r="AL10" s="1" t="n"/>
      <c r="AM10" s="372" t="n"/>
      <c r="AN10" s="364" t="n"/>
      <c r="AO10" s="364" t="n"/>
      <c r="AP10" s="364" t="n"/>
      <c r="AQ10" s="364" t="n"/>
      <c r="AR10" s="364" t="n"/>
      <c r="AS10" s="293" t="n"/>
      <c r="AT10" s="293" t="n"/>
      <c r="AU10" s="311" t="n"/>
      <c r="AV10" s="293" t="n"/>
      <c r="AW10" s="293" t="n"/>
      <c r="AX10" s="293" t="n"/>
      <c r="AY10" s="293" t="n"/>
      <c r="AZ10" s="293" t="n"/>
    </row>
    <row r="11" ht="18" customHeight="1" s="28">
      <c r="A11" s="364" t="n"/>
      <c r="B11" s="364" t="n"/>
      <c r="C11" s="364" t="n"/>
      <c r="D11" s="364" t="n"/>
      <c r="E11" s="364" t="n"/>
      <c r="F11" s="374" t="inlineStr">
        <is>
          <t>Pick</t>
        </is>
      </c>
      <c r="G11" s="417" t="n"/>
      <c r="H11" s="1" t="n"/>
      <c r="I11" s="1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4" t="n"/>
      <c r="AJ11" s="374" t="inlineStr">
        <is>
          <t>Pick</t>
        </is>
      </c>
      <c r="AK11" s="417" t="n"/>
      <c r="AL11" s="1" t="n"/>
      <c r="AM11" s="1" t="n"/>
      <c r="AN11" s="364" t="n"/>
      <c r="AO11" s="364" t="n"/>
      <c r="AP11" s="364" t="n"/>
      <c r="AQ11" s="364" t="n"/>
      <c r="AR11" s="364" t="n"/>
      <c r="AS11" s="293" t="n"/>
      <c r="AT11" s="293" t="n"/>
      <c r="AU11" s="311">
        <f>'Tournament Map'!A19</f>
        <v/>
      </c>
      <c r="AV11" s="293" t="n"/>
      <c r="AW11" s="293" t="n"/>
      <c r="AX11" s="293" t="n"/>
      <c r="AY11" s="293" t="n"/>
      <c r="AZ11" s="293" t="n"/>
    </row>
    <row r="12" ht="18" customHeight="1" s="28">
      <c r="A12" s="414" t="inlineStr">
        <is>
          <t>M77 | Round of 32</t>
        </is>
      </c>
      <c r="B12" s="1" t="n"/>
      <c r="C12" s="1" t="n"/>
      <c r="D12" s="1" t="n"/>
      <c r="E12" s="364" t="n"/>
      <c r="F12" s="419">
        <f>IF('Tournament Map'!G12="","","Winner: "&amp;'Tournament Map'!G12)</f>
        <v/>
      </c>
      <c r="G12" s="1" t="n"/>
      <c r="H12" s="1" t="n"/>
      <c r="I12" s="1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4" t="n"/>
      <c r="AJ12" s="419">
        <f>IF('Tournament Map'!AK12="","","Winner: "&amp;'Tournament Map'!AK12)</f>
        <v/>
      </c>
      <c r="AK12" s="1" t="n"/>
      <c r="AL12" s="1" t="n"/>
      <c r="AM12" s="1" t="n"/>
      <c r="AN12" s="364" t="n"/>
      <c r="AO12" s="414" t="inlineStr">
        <is>
          <t>M78 | Round of 32</t>
        </is>
      </c>
      <c r="AP12" s="1" t="n"/>
      <c r="AQ12" s="1" t="n"/>
      <c r="AR12" s="1" t="n"/>
      <c r="AS12" s="293" t="n"/>
      <c r="AT12" s="293" t="n"/>
      <c r="AU12" s="311">
        <f>'Tournament Map'!A20</f>
        <v/>
      </c>
      <c r="AV12" s="293" t="n"/>
      <c r="AW12" s="293" t="n"/>
      <c r="AX12" s="293" t="n"/>
      <c r="AY12" s="293" t="n"/>
      <c r="AZ12" s="293" t="n"/>
    </row>
    <row r="13" ht="18" customHeight="1" s="28">
      <c r="A13" s="415">
        <f>IF('Tournament Map'!A13="","",'Tournament Map'!A13)</f>
        <v/>
      </c>
      <c r="B13" s="1" t="n"/>
      <c r="C13" s="1" t="n"/>
      <c r="D13" s="372" t="n"/>
      <c r="E13" s="364" t="n"/>
      <c r="F13" s="364" t="n"/>
      <c r="G13" s="364" t="n"/>
      <c r="H13" s="364" t="n"/>
      <c r="I13" s="364" t="n"/>
      <c r="J13" s="364" t="n"/>
      <c r="K13" s="364" t="n"/>
      <c r="L13" s="364" t="n"/>
      <c r="M13" s="364" t="n"/>
      <c r="N13" s="364" t="n"/>
      <c r="O13" s="364" t="n"/>
      <c r="P13" s="364" t="n"/>
      <c r="Q13" s="364" t="n"/>
      <c r="R13" s="364" t="n"/>
      <c r="S13" s="364" t="n"/>
      <c r="T13" s="364" t="n"/>
      <c r="U13" s="364" t="n"/>
      <c r="V13" s="364" t="n"/>
      <c r="W13" s="364" t="n"/>
      <c r="X13" s="364" t="n"/>
      <c r="Y13" s="364" t="n"/>
      <c r="Z13" s="364" t="n"/>
      <c r="AA13" s="364" t="n"/>
      <c r="AB13" s="364" t="n"/>
      <c r="AC13" s="364" t="n"/>
      <c r="AD13" s="364" t="n"/>
      <c r="AE13" s="364" t="n"/>
      <c r="AF13" s="364" t="n"/>
      <c r="AG13" s="364" t="n"/>
      <c r="AH13" s="364" t="n"/>
      <c r="AI13" s="364" t="n"/>
      <c r="AJ13" s="364" t="n"/>
      <c r="AK13" s="364" t="n"/>
      <c r="AL13" s="364" t="n"/>
      <c r="AM13" s="364" t="n"/>
      <c r="AN13" s="364" t="n"/>
      <c r="AO13" s="415">
        <f>IF('Tournament Map'!AO13="","",'Tournament Map'!AO13)</f>
        <v/>
      </c>
      <c r="AP13" s="1" t="n"/>
      <c r="AQ13" s="1" t="n"/>
      <c r="AR13" s="372" t="n"/>
      <c r="AS13" s="293" t="n"/>
      <c r="AT13" s="293" t="n"/>
      <c r="AU13" s="293" t="n"/>
      <c r="AV13" s="293" t="n"/>
      <c r="AW13" s="293" t="n"/>
      <c r="AX13" s="293" t="n"/>
      <c r="AY13" s="293" t="n"/>
      <c r="AZ13" s="293" t="n"/>
    </row>
    <row r="14" ht="18" customHeight="1" s="28">
      <c r="A14" s="415">
        <f>IF('Tournament Map'!A14="","",'Tournament Map'!A14)</f>
        <v/>
      </c>
      <c r="B14" s="1" t="n"/>
      <c r="C14" s="1" t="n"/>
      <c r="D14" s="372" t="n"/>
      <c r="E14" s="364" t="n"/>
      <c r="F14" s="364" t="n"/>
      <c r="G14" s="364" t="n"/>
      <c r="H14" s="364" t="n"/>
      <c r="I14" s="364" t="n"/>
      <c r="J14" s="364" t="n"/>
      <c r="K14" s="364" t="n"/>
      <c r="L14" s="364" t="n"/>
      <c r="M14" s="364" t="n"/>
      <c r="N14" s="364" t="n"/>
      <c r="O14" s="364" t="n"/>
      <c r="P14" s="364" t="n"/>
      <c r="Q14" s="364" t="n"/>
      <c r="R14" s="364" t="n"/>
      <c r="S14" s="364" t="n"/>
      <c r="T14" s="364" t="n"/>
      <c r="U14" s="364" t="n"/>
      <c r="V14" s="364" t="n"/>
      <c r="W14" s="364" t="n"/>
      <c r="X14" s="364" t="n"/>
      <c r="Y14" s="364" t="n"/>
      <c r="Z14" s="364" t="n"/>
      <c r="AA14" s="364" t="n"/>
      <c r="AB14" s="364" t="n"/>
      <c r="AC14" s="364" t="n"/>
      <c r="AD14" s="364" t="n"/>
      <c r="AE14" s="364" t="n"/>
      <c r="AF14" s="364" t="n"/>
      <c r="AG14" s="364" t="n"/>
      <c r="AH14" s="364" t="n"/>
      <c r="AI14" s="364" t="n"/>
      <c r="AJ14" s="364" t="n"/>
      <c r="AK14" s="364" t="n"/>
      <c r="AL14" s="364" t="n"/>
      <c r="AM14" s="364" t="n"/>
      <c r="AN14" s="364" t="n"/>
      <c r="AO14" s="415">
        <f>IF('Tournament Map'!AO14="","",'Tournament Map'!AO14)</f>
        <v/>
      </c>
      <c r="AP14" s="1" t="n"/>
      <c r="AQ14" s="1" t="n"/>
      <c r="AR14" s="372" t="n"/>
      <c r="AS14" s="293" t="n"/>
      <c r="AT14" s="293" t="n"/>
      <c r="AU14" s="311" t="n"/>
      <c r="AV14" s="293" t="n"/>
      <c r="AW14" s="293" t="n"/>
      <c r="AX14" s="293" t="n"/>
      <c r="AY14" s="293" t="n"/>
      <c r="AZ14" s="293" t="n"/>
    </row>
    <row r="15" ht="18" customHeight="1" s="28">
      <c r="A15" s="374" t="inlineStr">
        <is>
          <t>Pick</t>
        </is>
      </c>
      <c r="B15" s="417" t="n"/>
      <c r="C15" s="1" t="n"/>
      <c r="D15" s="1" t="n"/>
      <c r="E15" s="364" t="n"/>
      <c r="F15" s="364" t="n"/>
      <c r="G15" s="364" t="n"/>
      <c r="H15" s="364" t="n"/>
      <c r="I15" s="364" t="n"/>
      <c r="J15" s="364" t="n"/>
      <c r="K15" s="414" t="inlineStr">
        <is>
          <t>M97 | Quarterfinal</t>
        </is>
      </c>
      <c r="L15" s="1" t="n"/>
      <c r="M15" s="1" t="n"/>
      <c r="N15" s="1" t="n"/>
      <c r="O15" s="364" t="n"/>
      <c r="P15" s="364" t="n"/>
      <c r="Q15" s="364" t="n"/>
      <c r="R15" s="364" t="n"/>
      <c r="S15" s="364" t="n"/>
      <c r="T15" s="364" t="n"/>
      <c r="U15" s="364" t="n"/>
      <c r="V15" s="364" t="n"/>
      <c r="W15" s="364" t="n"/>
      <c r="X15" s="364" t="n"/>
      <c r="Y15" s="364" t="n"/>
      <c r="Z15" s="364" t="n"/>
      <c r="AA15" s="364" t="n"/>
      <c r="AB15" s="364" t="n"/>
      <c r="AC15" s="364" t="n"/>
      <c r="AD15" s="364" t="n"/>
      <c r="AE15" s="414" t="inlineStr">
        <is>
          <t>M99 | Quarterfinal</t>
        </is>
      </c>
      <c r="AF15" s="1" t="n"/>
      <c r="AG15" s="1" t="n"/>
      <c r="AH15" s="1" t="n"/>
      <c r="AI15" s="364" t="n"/>
      <c r="AJ15" s="364" t="n"/>
      <c r="AK15" s="364" t="n"/>
      <c r="AL15" s="364" t="n"/>
      <c r="AM15" s="364" t="n"/>
      <c r="AN15" s="364" t="n"/>
      <c r="AO15" s="374" t="inlineStr">
        <is>
          <t>Pick</t>
        </is>
      </c>
      <c r="AP15" s="417" t="n"/>
      <c r="AQ15" s="1" t="n"/>
      <c r="AR15" s="1" t="n"/>
      <c r="AS15" s="293" t="n"/>
      <c r="AT15" s="293" t="n"/>
      <c r="AU15" s="311">
        <f>'Tournament Map'!A25</f>
        <v/>
      </c>
      <c r="AV15" s="293" t="n"/>
      <c r="AW15" s="293" t="n"/>
      <c r="AX15" s="293" t="n"/>
      <c r="AY15" s="293" t="n"/>
      <c r="AZ15" s="293" t="n"/>
    </row>
    <row r="16" ht="18" customHeight="1" s="28">
      <c r="A16" s="419">
        <f>IF('Tournament Map'!B15="","","Winner: "&amp;'Tournament Map'!B15)</f>
        <v/>
      </c>
      <c r="B16" s="1" t="n"/>
      <c r="C16" s="1" t="n"/>
      <c r="D16" s="1" t="n"/>
      <c r="E16" s="364" t="n"/>
      <c r="F16" s="364" t="n"/>
      <c r="G16" s="364" t="n"/>
      <c r="H16" s="364" t="n"/>
      <c r="I16" s="364" t="n"/>
      <c r="J16" s="364" t="n"/>
      <c r="K16" s="415">
        <f>IF('Tournament Map'!K16="","",'Tournament Map'!K16)</f>
        <v/>
      </c>
      <c r="L16" s="1" t="n"/>
      <c r="M16" s="1" t="n"/>
      <c r="N16" s="372" t="n"/>
      <c r="O16" s="364" t="n"/>
      <c r="P16" s="364" t="n"/>
      <c r="Q16" s="364" t="n"/>
      <c r="R16" s="364" t="n"/>
      <c r="S16" s="364" t="n"/>
      <c r="T16" s="364" t="n"/>
      <c r="U16" s="364" t="n"/>
      <c r="V16" s="364" t="n"/>
      <c r="W16" s="364" t="n"/>
      <c r="X16" s="364" t="n"/>
      <c r="Y16" s="364" t="n"/>
      <c r="Z16" s="364" t="n"/>
      <c r="AA16" s="364" t="n"/>
      <c r="AB16" s="364" t="n"/>
      <c r="AC16" s="364" t="n"/>
      <c r="AD16" s="364" t="n"/>
      <c r="AE16" s="415">
        <f>IF('Tournament Map'!AE16="","",'Tournament Map'!AE16)</f>
        <v/>
      </c>
      <c r="AF16" s="1" t="n"/>
      <c r="AG16" s="1" t="n"/>
      <c r="AH16" s="372" t="n"/>
      <c r="AI16" s="364" t="n"/>
      <c r="AJ16" s="364" t="n"/>
      <c r="AK16" s="364" t="n"/>
      <c r="AL16" s="364" t="n"/>
      <c r="AM16" s="364" t="n"/>
      <c r="AN16" s="364" t="n"/>
      <c r="AO16" s="419">
        <f>IF('Tournament Map'!AP15="","","Winner: "&amp;'Tournament Map'!AP15)</f>
        <v/>
      </c>
      <c r="AP16" s="1" t="n"/>
      <c r="AQ16" s="1" t="n"/>
      <c r="AR16" s="1" t="n"/>
      <c r="AS16" s="293" t="n"/>
      <c r="AT16" s="293" t="n"/>
      <c r="AU16" s="311">
        <f>'Tournament Map'!A26</f>
        <v/>
      </c>
      <c r="AV16" s="293" t="n"/>
      <c r="AW16" s="293" t="n"/>
      <c r="AX16" s="293" t="n"/>
      <c r="AY16" s="293" t="n"/>
      <c r="AZ16" s="293" t="n"/>
    </row>
    <row r="17" ht="18" customHeight="1" s="28">
      <c r="A17" s="364" t="n"/>
      <c r="B17" s="364" t="n"/>
      <c r="C17" s="364" t="n"/>
      <c r="D17" s="364" t="n"/>
      <c r="E17" s="364" t="n"/>
      <c r="F17" s="364" t="n"/>
      <c r="G17" s="364" t="n"/>
      <c r="H17" s="364" t="n"/>
      <c r="I17" s="364" t="n"/>
      <c r="J17" s="364" t="n"/>
      <c r="K17" s="415">
        <f>IF('Tournament Map'!K17="","",'Tournament Map'!K17)</f>
        <v/>
      </c>
      <c r="L17" s="1" t="n"/>
      <c r="M17" s="1" t="n"/>
      <c r="N17" s="372" t="n"/>
      <c r="O17" s="364" t="n"/>
      <c r="P17" s="364" t="n"/>
      <c r="Q17" s="364" t="n"/>
      <c r="R17" s="364" t="n"/>
      <c r="S17" s="364" t="n"/>
      <c r="T17" s="364" t="n"/>
      <c r="U17" s="364" t="n"/>
      <c r="V17" s="364" t="n"/>
      <c r="W17" s="364" t="n"/>
      <c r="X17" s="364" t="n"/>
      <c r="Y17" s="364" t="n"/>
      <c r="Z17" s="364" t="n"/>
      <c r="AA17" s="364" t="n"/>
      <c r="AB17" s="364" t="n"/>
      <c r="AC17" s="364" t="n"/>
      <c r="AD17" s="364" t="n"/>
      <c r="AE17" s="415">
        <f>IF('Tournament Map'!AE17="","",'Tournament Map'!AE17)</f>
        <v/>
      </c>
      <c r="AF17" s="1" t="n"/>
      <c r="AG17" s="1" t="n"/>
      <c r="AH17" s="372" t="n"/>
      <c r="AI17" s="364" t="n"/>
      <c r="AJ17" s="364" t="n"/>
      <c r="AK17" s="364" t="n"/>
      <c r="AL17" s="364" t="n"/>
      <c r="AM17" s="364" t="n"/>
      <c r="AN17" s="364" t="n"/>
      <c r="AO17" s="364" t="n"/>
      <c r="AP17" s="364" t="n"/>
      <c r="AQ17" s="364" t="n"/>
      <c r="AR17" s="364" t="n"/>
      <c r="AS17" s="293" t="n"/>
      <c r="AT17" s="293" t="n"/>
      <c r="AU17" s="293" t="n"/>
      <c r="AV17" s="293" t="n"/>
      <c r="AW17" s="293" t="n"/>
      <c r="AX17" s="293" t="n"/>
      <c r="AY17" s="293" t="n"/>
      <c r="AZ17" s="293" t="n"/>
    </row>
    <row r="18" ht="18" customHeight="1" s="28">
      <c r="A18" s="364" t="n"/>
      <c r="B18" s="364" t="n"/>
      <c r="C18" s="364" t="n"/>
      <c r="D18" s="364" t="n"/>
      <c r="E18" s="364" t="n"/>
      <c r="F18" s="364" t="n"/>
      <c r="G18" s="364" t="n"/>
      <c r="H18" s="364" t="n"/>
      <c r="I18" s="364" t="n"/>
      <c r="J18" s="364" t="n"/>
      <c r="K18" s="374" t="inlineStr">
        <is>
          <t>Pick</t>
        </is>
      </c>
      <c r="L18" s="417" t="n"/>
      <c r="M18" s="1" t="n"/>
      <c r="N18" s="1" t="n"/>
      <c r="O18" s="364" t="n"/>
      <c r="P18" s="364" t="n"/>
      <c r="Q18" s="364" t="n"/>
      <c r="R18" s="364" t="n"/>
      <c r="S18" s="364" t="n"/>
      <c r="T18" s="364" t="n"/>
      <c r="U18" s="364" t="n"/>
      <c r="V18" s="364" t="n"/>
      <c r="W18" s="364" t="n"/>
      <c r="X18" s="364" t="n"/>
      <c r="Y18" s="364" t="n"/>
      <c r="Z18" s="364" t="n"/>
      <c r="AA18" s="364" t="n"/>
      <c r="AB18" s="364" t="n"/>
      <c r="AC18" s="364" t="n"/>
      <c r="AD18" s="364" t="n"/>
      <c r="AE18" s="374" t="inlineStr">
        <is>
          <t>Pick</t>
        </is>
      </c>
      <c r="AF18" s="417" t="n"/>
      <c r="AG18" s="1" t="n"/>
      <c r="AH18" s="1" t="n"/>
      <c r="AI18" s="364" t="n"/>
      <c r="AJ18" s="364" t="n"/>
      <c r="AK18" s="364" t="n"/>
      <c r="AL18" s="364" t="n"/>
      <c r="AM18" s="364" t="n"/>
      <c r="AN18" s="364" t="n"/>
      <c r="AO18" s="364" t="n"/>
      <c r="AP18" s="364" t="n"/>
      <c r="AQ18" s="364" t="n"/>
      <c r="AR18" s="364" t="n"/>
      <c r="AS18" s="293" t="n"/>
      <c r="AT18" s="293" t="n"/>
      <c r="AU18" s="311" t="n"/>
      <c r="AV18" s="293" t="n"/>
      <c r="AW18" s="293" t="n"/>
      <c r="AX18" s="293" t="n"/>
      <c r="AY18" s="293" t="n"/>
      <c r="AZ18" s="293" t="n"/>
    </row>
    <row r="19" ht="18" customHeight="1" s="28">
      <c r="A19" s="414" t="inlineStr">
        <is>
          <t>M73 | Round of 32</t>
        </is>
      </c>
      <c r="B19" s="1" t="n"/>
      <c r="C19" s="1" t="n"/>
      <c r="D19" s="1" t="n"/>
      <c r="E19" s="364" t="n"/>
      <c r="F19" s="364" t="n"/>
      <c r="G19" s="364" t="n"/>
      <c r="H19" s="364" t="n"/>
      <c r="I19" s="364" t="n"/>
      <c r="J19" s="364" t="n"/>
      <c r="K19" s="419">
        <f>IF('Tournament Map'!L18="","","Winner: "&amp;'Tournament Map'!L18)</f>
        <v/>
      </c>
      <c r="L19" s="1" t="n"/>
      <c r="M19" s="1" t="n"/>
      <c r="N19" s="1" t="n"/>
      <c r="O19" s="364" t="n"/>
      <c r="P19" s="364" t="n"/>
      <c r="Q19" s="364" t="n"/>
      <c r="R19" s="364" t="n"/>
      <c r="S19" s="364" t="n"/>
      <c r="T19" s="364" t="n"/>
      <c r="U19" s="364" t="n"/>
      <c r="V19" s="364" t="n"/>
      <c r="W19" s="364" t="n"/>
      <c r="X19" s="364" t="n"/>
      <c r="Y19" s="364" t="n"/>
      <c r="Z19" s="364" t="n"/>
      <c r="AA19" s="364" t="n"/>
      <c r="AB19" s="364" t="n"/>
      <c r="AC19" s="364" t="n"/>
      <c r="AD19" s="364" t="n"/>
      <c r="AE19" s="419">
        <f>IF('Tournament Map'!AF18="","","Winner: "&amp;'Tournament Map'!AF18)</f>
        <v/>
      </c>
      <c r="AF19" s="1" t="n"/>
      <c r="AG19" s="1" t="n"/>
      <c r="AH19" s="1" t="n"/>
      <c r="AI19" s="364" t="n"/>
      <c r="AJ19" s="364" t="n"/>
      <c r="AK19" s="364" t="n"/>
      <c r="AL19" s="364" t="n"/>
      <c r="AM19" s="364" t="n"/>
      <c r="AN19" s="364" t="n"/>
      <c r="AO19" s="414" t="inlineStr">
        <is>
          <t>M79 | Round of 32</t>
        </is>
      </c>
      <c r="AP19" s="1" t="n"/>
      <c r="AQ19" s="1" t="n"/>
      <c r="AR19" s="1" t="n"/>
      <c r="AS19" s="293" t="n"/>
      <c r="AT19" s="293" t="n"/>
      <c r="AU19" s="311">
        <f>'Tournament Map'!A31</f>
        <v/>
      </c>
      <c r="AV19" s="293" t="n"/>
      <c r="AW19" s="293" t="n"/>
      <c r="AX19" s="293" t="n"/>
      <c r="AY19" s="293" t="n"/>
      <c r="AZ19" s="293" t="n"/>
    </row>
    <row r="20" ht="18" customHeight="1" s="28">
      <c r="A20" s="415">
        <f>IF('Tournament Map'!A19="","",'Tournament Map'!A19)</f>
        <v/>
      </c>
      <c r="B20" s="1" t="n"/>
      <c r="C20" s="1" t="n"/>
      <c r="D20" s="372" t="n"/>
      <c r="E20" s="364" t="n"/>
      <c r="F20" s="364" t="n"/>
      <c r="G20" s="364" t="n"/>
      <c r="H20" s="364" t="n"/>
      <c r="I20" s="364" t="n"/>
      <c r="J20" s="364" t="n"/>
      <c r="K20" s="364" t="n"/>
      <c r="L20" s="364" t="n"/>
      <c r="M20" s="364" t="n"/>
      <c r="N20" s="364" t="n"/>
      <c r="O20" s="364" t="n"/>
      <c r="P20" s="364" t="n"/>
      <c r="Q20" s="364" t="n"/>
      <c r="R20" s="364" t="n"/>
      <c r="S20" s="364" t="n"/>
      <c r="T20" s="364" t="n"/>
      <c r="U20" s="364" t="n"/>
      <c r="V20" s="364" t="n"/>
      <c r="W20" s="364" t="n"/>
      <c r="X20" s="364" t="n"/>
      <c r="Y20" s="364" t="n"/>
      <c r="Z20" s="364" t="n"/>
      <c r="AA20" s="364" t="n"/>
      <c r="AB20" s="364" t="n"/>
      <c r="AC20" s="364" t="n"/>
      <c r="AD20" s="364" t="n"/>
      <c r="AE20" s="364" t="n"/>
      <c r="AF20" s="364" t="n"/>
      <c r="AG20" s="364" t="n"/>
      <c r="AH20" s="364" t="n"/>
      <c r="AI20" s="364" t="n"/>
      <c r="AJ20" s="364" t="n"/>
      <c r="AK20" s="364" t="n"/>
      <c r="AL20" s="364" t="n"/>
      <c r="AM20" s="364" t="n"/>
      <c r="AN20" s="364" t="n"/>
      <c r="AO20" s="415">
        <f>IF('Tournament Map'!AO19="","",'Tournament Map'!AO19)</f>
        <v/>
      </c>
      <c r="AP20" s="1" t="n"/>
      <c r="AQ20" s="1" t="n"/>
      <c r="AR20" s="372" t="n"/>
      <c r="AS20" s="293" t="n"/>
      <c r="AT20" s="293" t="n"/>
      <c r="AU20" s="311">
        <f>'Tournament Map'!A32</f>
        <v/>
      </c>
      <c r="AV20" s="293" t="n"/>
      <c r="AW20" s="293" t="n"/>
      <c r="AX20" s="293" t="n"/>
      <c r="AY20" s="293" t="n"/>
      <c r="AZ20" s="293" t="n"/>
    </row>
    <row r="21" ht="18" customHeight="1" s="28">
      <c r="A21" s="415">
        <f>IF('Tournament Map'!A20="","",'Tournament Map'!A20)</f>
        <v/>
      </c>
      <c r="B21" s="1" t="n"/>
      <c r="C21" s="1" t="n"/>
      <c r="D21" s="372" t="n"/>
      <c r="E21" s="364" t="n"/>
      <c r="F21" s="364" t="n"/>
      <c r="G21" s="364" t="n"/>
      <c r="H21" s="364" t="n"/>
      <c r="I21" s="364" t="n"/>
      <c r="J21" s="364" t="n"/>
      <c r="K21" s="364" t="n"/>
      <c r="L21" s="364" t="n"/>
      <c r="M21" s="364" t="n"/>
      <c r="N21" s="364" t="n"/>
      <c r="O21" s="364" t="n"/>
      <c r="P21" s="364" t="n"/>
      <c r="Q21" s="364" t="n"/>
      <c r="R21" s="364" t="n"/>
      <c r="S21" s="364" t="n"/>
      <c r="T21" s="364" t="n"/>
      <c r="U21" s="364" t="n"/>
      <c r="V21" s="364" t="n"/>
      <c r="W21" s="364" t="n"/>
      <c r="X21" s="364" t="n"/>
      <c r="Y21" s="364" t="n"/>
      <c r="Z21" s="364" t="n"/>
      <c r="AA21" s="364" t="n"/>
      <c r="AB21" s="364" t="n"/>
      <c r="AC21" s="364" t="n"/>
      <c r="AD21" s="364" t="n"/>
      <c r="AE21" s="364" t="n"/>
      <c r="AF21" s="364" t="n"/>
      <c r="AG21" s="364" t="n"/>
      <c r="AH21" s="364" t="n"/>
      <c r="AI21" s="364" t="n"/>
      <c r="AJ21" s="364" t="n"/>
      <c r="AK21" s="364" t="n"/>
      <c r="AL21" s="364" t="n"/>
      <c r="AM21" s="364" t="n"/>
      <c r="AN21" s="364" t="n"/>
      <c r="AO21" s="415">
        <f>IF('Tournament Map'!AO20="","",'Tournament Map'!AO20)</f>
        <v/>
      </c>
      <c r="AP21" s="1" t="n"/>
      <c r="AQ21" s="1" t="n"/>
      <c r="AR21" s="372" t="n"/>
      <c r="AS21" s="293" t="n"/>
      <c r="AT21" s="293" t="n"/>
      <c r="AU21" s="293" t="n"/>
      <c r="AV21" s="293" t="n"/>
      <c r="AW21" s="293" t="n"/>
      <c r="AX21" s="293" t="n"/>
      <c r="AY21" s="293" t="n"/>
      <c r="AZ21" s="293" t="n"/>
    </row>
    <row r="22" ht="18" customHeight="1" s="28">
      <c r="A22" s="374" t="inlineStr">
        <is>
          <t>Pick</t>
        </is>
      </c>
      <c r="B22" s="417" t="n"/>
      <c r="C22" s="1" t="n"/>
      <c r="D22" s="1" t="n"/>
      <c r="E22" s="364" t="n"/>
      <c r="F22" s="414" t="inlineStr">
        <is>
          <t>M90 | Round of 16</t>
        </is>
      </c>
      <c r="G22" s="1" t="n"/>
      <c r="H22" s="1" t="n"/>
      <c r="I22" s="1" t="n"/>
      <c r="J22" s="364" t="n"/>
      <c r="K22" s="364" t="n"/>
      <c r="L22" s="364" t="n"/>
      <c r="M22" s="364" t="n"/>
      <c r="N22" s="364" t="n"/>
      <c r="O22" s="364" t="n"/>
      <c r="P22" s="364" t="n"/>
      <c r="Q22" s="364" t="n"/>
      <c r="R22" s="364" t="n"/>
      <c r="S22" s="364" t="n"/>
      <c r="T22" s="364" t="n"/>
      <c r="U22" s="364" t="n"/>
      <c r="V22" s="364" t="n"/>
      <c r="W22" s="364" t="n"/>
      <c r="X22" s="364" t="n"/>
      <c r="Y22" s="364" t="n"/>
      <c r="Z22" s="364" t="n"/>
      <c r="AA22" s="364" t="n"/>
      <c r="AB22" s="364" t="n"/>
      <c r="AC22" s="364" t="n"/>
      <c r="AD22" s="364" t="n"/>
      <c r="AE22" s="364" t="n"/>
      <c r="AF22" s="364" t="n"/>
      <c r="AG22" s="364" t="n"/>
      <c r="AH22" s="364" t="n"/>
      <c r="AI22" s="364" t="n"/>
      <c r="AJ22" s="414" t="inlineStr">
        <is>
          <t>M92 | Round of 16</t>
        </is>
      </c>
      <c r="AK22" s="1" t="n"/>
      <c r="AL22" s="1" t="n"/>
      <c r="AM22" s="1" t="n"/>
      <c r="AN22" s="364" t="n"/>
      <c r="AO22" s="374" t="inlineStr">
        <is>
          <t>Pick</t>
        </is>
      </c>
      <c r="AP22" s="417" t="n"/>
      <c r="AQ22" s="1" t="n"/>
      <c r="AR22" s="1" t="n"/>
      <c r="AS22" s="293" t="n"/>
      <c r="AT22" s="293" t="n"/>
      <c r="AU22" s="311" t="n"/>
      <c r="AV22" s="293" t="n"/>
      <c r="AW22" s="293" t="n"/>
      <c r="AX22" s="293" t="n"/>
      <c r="AY22" s="293" t="n"/>
      <c r="AZ22" s="293" t="n"/>
    </row>
    <row r="23" ht="18" customHeight="1" s="28">
      <c r="A23" s="419">
        <f>IF('Tournament Map'!B21="","","Winner: "&amp;'Tournament Map'!B21)</f>
        <v/>
      </c>
      <c r="B23" s="1" t="n"/>
      <c r="C23" s="1" t="n"/>
      <c r="D23" s="1" t="n"/>
      <c r="E23" s="364" t="n"/>
      <c r="F23" s="415">
        <f>IF('Tournament Map'!F22="","",'Tournament Map'!F22)</f>
        <v/>
      </c>
      <c r="G23" s="1" t="n"/>
      <c r="H23" s="1" t="n"/>
      <c r="I23" s="372" t="n"/>
      <c r="J23" s="364" t="n"/>
      <c r="K23" s="364" t="n"/>
      <c r="L23" s="364" t="n"/>
      <c r="M23" s="364" t="n"/>
      <c r="N23" s="364" t="n"/>
      <c r="O23" s="364" t="n"/>
      <c r="P23" s="364" t="n"/>
      <c r="Q23" s="364" t="n"/>
      <c r="R23" s="364" t="n"/>
      <c r="S23" s="364" t="n"/>
      <c r="T23" s="364" t="n"/>
      <c r="U23" s="364" t="n"/>
      <c r="V23" s="364" t="n"/>
      <c r="W23" s="364" t="n"/>
      <c r="X23" s="364" t="n"/>
      <c r="Y23" s="364" t="n"/>
      <c r="Z23" s="364" t="n"/>
      <c r="AA23" s="364" t="n"/>
      <c r="AB23" s="364" t="n"/>
      <c r="AC23" s="364" t="n"/>
      <c r="AD23" s="364" t="n"/>
      <c r="AE23" s="364" t="n"/>
      <c r="AF23" s="364" t="n"/>
      <c r="AG23" s="364" t="n"/>
      <c r="AH23" s="364" t="n"/>
      <c r="AI23" s="364" t="n"/>
      <c r="AJ23" s="415">
        <f>IF('Tournament Map'!AJ22="","",'Tournament Map'!AJ22)</f>
        <v/>
      </c>
      <c r="AK23" s="1" t="n"/>
      <c r="AL23" s="1" t="n"/>
      <c r="AM23" s="372" t="n"/>
      <c r="AN23" s="364" t="n"/>
      <c r="AO23" s="419">
        <f>IF('Tournament Map'!AP21="","","Winner: "&amp;'Tournament Map'!AP21)</f>
        <v/>
      </c>
      <c r="AP23" s="1" t="n"/>
      <c r="AQ23" s="1" t="n"/>
      <c r="AR23" s="1" t="n"/>
      <c r="AS23" s="293" t="n"/>
      <c r="AT23" s="293" t="n"/>
      <c r="AU23" s="311">
        <f>'Tournament Map'!A37</f>
        <v/>
      </c>
      <c r="AV23" s="293" t="n"/>
      <c r="AW23" s="293" t="n"/>
      <c r="AX23" s="293" t="n"/>
      <c r="AY23" s="293" t="n"/>
      <c r="AZ23" s="293" t="n"/>
    </row>
    <row r="24" ht="18" customHeight="1" s="28">
      <c r="A24" s="364" t="n"/>
      <c r="B24" s="364" t="n"/>
      <c r="C24" s="364" t="n"/>
      <c r="D24" s="364" t="n"/>
      <c r="E24" s="364" t="n"/>
      <c r="F24" s="415">
        <f>IF('Tournament Map'!F23="","",'Tournament Map'!F23)</f>
        <v/>
      </c>
      <c r="G24" s="1" t="n"/>
      <c r="H24" s="1" t="n"/>
      <c r="I24" s="372" t="n"/>
      <c r="J24" s="364" t="n"/>
      <c r="K24" s="364" t="n"/>
      <c r="L24" s="364" t="n"/>
      <c r="M24" s="364" t="n"/>
      <c r="N24" s="364" t="n"/>
      <c r="O24" s="364" t="n"/>
      <c r="P24" s="364" t="n"/>
      <c r="Q24" s="364" t="n"/>
      <c r="R24" s="364" t="n"/>
      <c r="S24" s="364" t="n"/>
      <c r="T24" s="364" t="n"/>
      <c r="U24" s="364" t="n"/>
      <c r="V24" s="364" t="n"/>
      <c r="W24" s="364" t="n"/>
      <c r="X24" s="364" t="n"/>
      <c r="Y24" s="364" t="n"/>
      <c r="Z24" s="364" t="n"/>
      <c r="AA24" s="364" t="n"/>
      <c r="AB24" s="364" t="n"/>
      <c r="AC24" s="364" t="n"/>
      <c r="AD24" s="364" t="n"/>
      <c r="AE24" s="364" t="n"/>
      <c r="AF24" s="364" t="n"/>
      <c r="AG24" s="364" t="n"/>
      <c r="AH24" s="364" t="n"/>
      <c r="AI24" s="364" t="n"/>
      <c r="AJ24" s="415">
        <f>IF('Tournament Map'!AJ23="","",'Tournament Map'!AJ23)</f>
        <v/>
      </c>
      <c r="AK24" s="1" t="n"/>
      <c r="AL24" s="1" t="n"/>
      <c r="AM24" s="372" t="n"/>
      <c r="AN24" s="364" t="n"/>
      <c r="AO24" s="364" t="n"/>
      <c r="AP24" s="364" t="n"/>
      <c r="AQ24" s="364" t="n"/>
      <c r="AR24" s="364" t="n"/>
      <c r="AS24" s="293" t="n"/>
      <c r="AT24" s="293" t="n"/>
      <c r="AU24" s="311">
        <f>'Tournament Map'!A38</f>
        <v/>
      </c>
      <c r="AV24" s="293" t="n"/>
      <c r="AW24" s="293" t="n"/>
      <c r="AX24" s="293" t="n"/>
      <c r="AY24" s="293" t="n"/>
      <c r="AZ24" s="293" t="n"/>
    </row>
    <row r="25" ht="18" customHeight="1" s="28">
      <c r="A25" s="364" t="n"/>
      <c r="B25" s="364" t="n"/>
      <c r="C25" s="364" t="n"/>
      <c r="D25" s="364" t="n"/>
      <c r="E25" s="364" t="n"/>
      <c r="F25" s="374" t="inlineStr">
        <is>
          <t>Pick</t>
        </is>
      </c>
      <c r="G25" s="417" t="n"/>
      <c r="H25" s="1" t="n"/>
      <c r="I25" s="1" t="n"/>
      <c r="J25" s="364" t="n"/>
      <c r="K25" s="364" t="n"/>
      <c r="L25" s="364" t="n"/>
      <c r="M25" s="364" t="n"/>
      <c r="N25" s="364" t="n"/>
      <c r="O25" s="364" t="n"/>
      <c r="P25" s="364" t="n"/>
      <c r="Q25" s="364" t="n"/>
      <c r="R25" s="364" t="n"/>
      <c r="S25" s="364" t="n"/>
      <c r="T25" s="364" t="n"/>
      <c r="U25" s="421" t="inlineStr">
        <is>
          <t>M104 | Final</t>
        </is>
      </c>
      <c r="V25" s="1" t="n"/>
      <c r="W25" s="1" t="n"/>
      <c r="X25" s="1" t="n"/>
      <c r="Y25" s="364" t="n"/>
      <c r="Z25" s="364" t="n"/>
      <c r="AA25" s="364" t="n"/>
      <c r="AB25" s="364" t="n"/>
      <c r="AC25" s="364" t="n"/>
      <c r="AD25" s="364" t="n"/>
      <c r="AE25" s="364" t="n"/>
      <c r="AF25" s="364" t="n"/>
      <c r="AG25" s="364" t="n"/>
      <c r="AH25" s="364" t="n"/>
      <c r="AI25" s="364" t="n"/>
      <c r="AJ25" s="374" t="inlineStr">
        <is>
          <t>Pick</t>
        </is>
      </c>
      <c r="AK25" s="417" t="n"/>
      <c r="AL25" s="1" t="n"/>
      <c r="AM25" s="1" t="n"/>
      <c r="AN25" s="364" t="n"/>
      <c r="AO25" s="364" t="n"/>
      <c r="AP25" s="364" t="n"/>
      <c r="AQ25" s="364" t="n"/>
      <c r="AR25" s="364" t="n"/>
      <c r="AS25" s="293" t="n"/>
      <c r="AT25" s="293" t="n"/>
      <c r="AU25" s="293" t="n"/>
      <c r="AV25" s="293" t="n"/>
      <c r="AW25" s="293" t="n"/>
      <c r="AX25" s="293" t="n"/>
      <c r="AY25" s="293" t="n"/>
      <c r="AZ25" s="293" t="n"/>
    </row>
    <row r="26" ht="18" customHeight="1" s="28">
      <c r="A26" s="414" t="inlineStr">
        <is>
          <t>M75 | Round of 32</t>
        </is>
      </c>
      <c r="B26" s="1" t="n"/>
      <c r="C26" s="1" t="n"/>
      <c r="D26" s="1" t="n"/>
      <c r="E26" s="364" t="n"/>
      <c r="F26" s="419">
        <f>IF('Tournament Map'!G24="","","Winner: "&amp;'Tournament Map'!G24)</f>
        <v/>
      </c>
      <c r="G26" s="1" t="n"/>
      <c r="H26" s="1" t="n"/>
      <c r="I26" s="1" t="n"/>
      <c r="J26" s="364" t="n"/>
      <c r="K26" s="364" t="n"/>
      <c r="L26" s="364" t="n"/>
      <c r="M26" s="364" t="n"/>
      <c r="N26" s="364" t="n"/>
      <c r="O26" s="364" t="n"/>
      <c r="P26" s="364" t="n"/>
      <c r="Q26" s="364" t="n"/>
      <c r="R26" s="364" t="n"/>
      <c r="S26" s="364" t="n"/>
      <c r="T26" s="364" t="n"/>
      <c r="U26" s="415">
        <f>IF('Tournament Map'!U28="","",'Tournament Map'!U28)</f>
        <v/>
      </c>
      <c r="V26" s="1" t="n"/>
      <c r="W26" s="1" t="n"/>
      <c r="X26" s="372" t="n"/>
      <c r="Y26" s="364" t="n"/>
      <c r="Z26" s="364" t="n"/>
      <c r="AA26" s="364" t="n"/>
      <c r="AB26" s="364" t="n"/>
      <c r="AC26" s="364" t="n"/>
      <c r="AD26" s="364" t="n"/>
      <c r="AE26" s="364" t="n"/>
      <c r="AF26" s="364" t="n"/>
      <c r="AG26" s="364" t="n"/>
      <c r="AH26" s="364" t="n"/>
      <c r="AI26" s="364" t="n"/>
      <c r="AJ26" s="419">
        <f>IF('Tournament Map'!AK24="","","Winner: "&amp;'Tournament Map'!AK24)</f>
        <v/>
      </c>
      <c r="AK26" s="1" t="n"/>
      <c r="AL26" s="1" t="n"/>
      <c r="AM26" s="1" t="n"/>
      <c r="AN26" s="364" t="n"/>
      <c r="AO26" s="414" t="inlineStr">
        <is>
          <t>M80 | Round of 32</t>
        </is>
      </c>
      <c r="AP26" s="1" t="n"/>
      <c r="AQ26" s="1" t="n"/>
      <c r="AR26" s="1" t="n"/>
      <c r="AS26" s="293" t="n"/>
      <c r="AT26" s="293" t="n"/>
      <c r="AU26" s="311" t="n"/>
      <c r="AV26" s="293" t="n"/>
      <c r="AW26" s="293" t="n"/>
      <c r="AX26" s="293" t="n"/>
      <c r="AY26" s="293" t="n"/>
      <c r="AZ26" s="293" t="n"/>
    </row>
    <row r="27" ht="18" customHeight="1" s="28">
      <c r="A27" s="415">
        <f>IF('Tournament Map'!A25="","",'Tournament Map'!A25)</f>
        <v/>
      </c>
      <c r="B27" s="1" t="n"/>
      <c r="C27" s="1" t="n"/>
      <c r="D27" s="372" t="n"/>
      <c r="E27" s="364" t="n"/>
      <c r="F27" s="364" t="n"/>
      <c r="G27" s="364" t="n"/>
      <c r="H27" s="364" t="n"/>
      <c r="I27" s="364" t="n"/>
      <c r="J27" s="364" t="n"/>
      <c r="K27" s="364" t="n"/>
      <c r="L27" s="364" t="n"/>
      <c r="M27" s="364" t="n"/>
      <c r="N27" s="364" t="n"/>
      <c r="O27" s="364" t="n"/>
      <c r="P27" s="364" t="n"/>
      <c r="Q27" s="364" t="n"/>
      <c r="R27" s="364" t="n"/>
      <c r="S27" s="364" t="n"/>
      <c r="T27" s="364" t="n"/>
      <c r="U27" s="415">
        <f>IF('Tournament Map'!U29="","",'Tournament Map'!U29)</f>
        <v/>
      </c>
      <c r="V27" s="1" t="n"/>
      <c r="W27" s="1" t="n"/>
      <c r="X27" s="372" t="n"/>
      <c r="Y27" s="364" t="n"/>
      <c r="Z27" s="364" t="n"/>
      <c r="AA27" s="364" t="n"/>
      <c r="AB27" s="364" t="n"/>
      <c r="AC27" s="364" t="n"/>
      <c r="AD27" s="364" t="n"/>
      <c r="AE27" s="364" t="n"/>
      <c r="AF27" s="364" t="n"/>
      <c r="AG27" s="364" t="n"/>
      <c r="AH27" s="364" t="n"/>
      <c r="AI27" s="364" t="n"/>
      <c r="AJ27" s="364" t="n"/>
      <c r="AK27" s="364" t="n"/>
      <c r="AL27" s="364" t="n"/>
      <c r="AM27" s="364" t="n"/>
      <c r="AN27" s="364" t="n"/>
      <c r="AO27" s="415">
        <f>IF('Tournament Map'!AO25="","",'Tournament Map'!AO25)</f>
        <v/>
      </c>
      <c r="AP27" s="1" t="n"/>
      <c r="AQ27" s="1" t="n"/>
      <c r="AR27" s="372" t="n"/>
      <c r="AS27" s="293" t="n"/>
      <c r="AT27" s="293" t="n"/>
      <c r="AU27" s="311">
        <f>'Tournament Map'!A43</f>
        <v/>
      </c>
      <c r="AV27" s="293" t="n"/>
      <c r="AW27" s="293" t="n"/>
      <c r="AX27" s="293" t="n"/>
      <c r="AY27" s="293" t="n"/>
      <c r="AZ27" s="293" t="n"/>
    </row>
    <row r="28" ht="18" customHeight="1" s="28">
      <c r="A28" s="415">
        <f>IF('Tournament Map'!A26="","",'Tournament Map'!A26)</f>
        <v/>
      </c>
      <c r="B28" s="1" t="n"/>
      <c r="C28" s="1" t="n"/>
      <c r="D28" s="372" t="n"/>
      <c r="E28" s="364" t="n"/>
      <c r="F28" s="364" t="n"/>
      <c r="G28" s="364" t="n"/>
      <c r="H28" s="364" t="n"/>
      <c r="I28" s="364" t="n"/>
      <c r="J28" s="364" t="n"/>
      <c r="K28" s="364" t="n"/>
      <c r="L28" s="364" t="n"/>
      <c r="M28" s="364" t="n"/>
      <c r="N28" s="364" t="n"/>
      <c r="O28" s="364" t="n"/>
      <c r="P28" s="364" t="n"/>
      <c r="Q28" s="364" t="n"/>
      <c r="R28" s="364" t="n"/>
      <c r="S28" s="364" t="n"/>
      <c r="T28" s="364" t="n"/>
      <c r="U28" s="374" t="inlineStr">
        <is>
          <t>Pick</t>
        </is>
      </c>
      <c r="V28" s="417" t="n"/>
      <c r="W28" s="1" t="n"/>
      <c r="X28" s="1" t="n"/>
      <c r="Y28" s="364" t="n"/>
      <c r="Z28" s="364" t="n"/>
      <c r="AA28" s="364" t="n"/>
      <c r="AB28" s="364" t="n"/>
      <c r="AC28" s="364" t="n"/>
      <c r="AD28" s="364" t="n"/>
      <c r="AE28" s="364" t="n"/>
      <c r="AF28" s="364" t="n"/>
      <c r="AG28" s="364" t="n"/>
      <c r="AH28" s="364" t="n"/>
      <c r="AI28" s="364" t="n"/>
      <c r="AJ28" s="364" t="n"/>
      <c r="AK28" s="364" t="n"/>
      <c r="AL28" s="364" t="n"/>
      <c r="AM28" s="364" t="n"/>
      <c r="AN28" s="364" t="n"/>
      <c r="AO28" s="415">
        <f>IF('Tournament Map'!AO26="","",'Tournament Map'!AO26)</f>
        <v/>
      </c>
      <c r="AP28" s="1" t="n"/>
      <c r="AQ28" s="1" t="n"/>
      <c r="AR28" s="372" t="n"/>
      <c r="AS28" s="293" t="n"/>
      <c r="AT28" s="293" t="n"/>
      <c r="AU28" s="311">
        <f>'Tournament Map'!A44</f>
        <v/>
      </c>
      <c r="AV28" s="293" t="n"/>
      <c r="AW28" s="293" t="n"/>
      <c r="AX28" s="293" t="n"/>
      <c r="AY28" s="293" t="n"/>
      <c r="AZ28" s="293" t="n"/>
    </row>
    <row r="29" ht="18" customHeight="1" s="28">
      <c r="A29" s="374" t="inlineStr">
        <is>
          <t>Pick</t>
        </is>
      </c>
      <c r="B29" s="417" t="n"/>
      <c r="C29" s="1" t="n"/>
      <c r="D29" s="1" t="n"/>
      <c r="E29" s="364" t="n"/>
      <c r="F29" s="364" t="n"/>
      <c r="G29" s="364" t="n"/>
      <c r="H29" s="364" t="n"/>
      <c r="I29" s="364" t="n"/>
      <c r="J29" s="364" t="n"/>
      <c r="K29" s="364" t="n"/>
      <c r="L29" s="364" t="n"/>
      <c r="M29" s="364" t="n"/>
      <c r="N29" s="364" t="n"/>
      <c r="O29" s="364" t="n"/>
      <c r="P29" s="414" t="inlineStr">
        <is>
          <t>M101 | Semi-final</t>
        </is>
      </c>
      <c r="Q29" s="1" t="n"/>
      <c r="R29" s="1" t="n"/>
      <c r="S29" s="1" t="n"/>
      <c r="T29" s="364" t="n"/>
      <c r="U29" s="419">
        <f>IF('Tournament Map'!V30="","","Winner: "&amp;'Tournament Map'!V30)</f>
        <v/>
      </c>
      <c r="V29" s="1" t="n"/>
      <c r="W29" s="1" t="n"/>
      <c r="X29" s="1" t="n"/>
      <c r="Y29" s="364" t="n"/>
      <c r="Z29" s="414" t="inlineStr">
        <is>
          <t>M102 | Semi-final</t>
        </is>
      </c>
      <c r="AA29" s="1" t="n"/>
      <c r="AB29" s="1" t="n"/>
      <c r="AC29" s="1" t="n"/>
      <c r="AD29" s="364" t="n"/>
      <c r="AE29" s="364" t="n"/>
      <c r="AF29" s="364" t="n"/>
      <c r="AG29" s="364" t="n"/>
      <c r="AH29" s="364" t="n"/>
      <c r="AI29" s="364" t="n"/>
      <c r="AJ29" s="364" t="n"/>
      <c r="AK29" s="364" t="n"/>
      <c r="AL29" s="364" t="n"/>
      <c r="AM29" s="364" t="n"/>
      <c r="AN29" s="364" t="n"/>
      <c r="AO29" s="374" t="inlineStr">
        <is>
          <t>Pick</t>
        </is>
      </c>
      <c r="AP29" s="417" t="n"/>
      <c r="AQ29" s="1" t="n"/>
      <c r="AR29" s="1" t="n"/>
      <c r="AS29" s="293" t="n"/>
      <c r="AT29" s="293" t="n"/>
      <c r="AU29" s="293" t="n"/>
      <c r="AV29" s="293" t="n"/>
      <c r="AW29" s="293" t="n"/>
      <c r="AX29" s="293" t="n"/>
      <c r="AY29" s="293" t="n"/>
      <c r="AZ29" s="293" t="n"/>
    </row>
    <row r="30" ht="18" customHeight="1" s="28">
      <c r="A30" s="419">
        <f>IF('Tournament Map'!B27="","","Winner: "&amp;'Tournament Map'!B27)</f>
        <v/>
      </c>
      <c r="B30" s="1" t="n"/>
      <c r="C30" s="1" t="n"/>
      <c r="D30" s="1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  <c r="N30" s="364" t="n"/>
      <c r="O30" s="364" t="n"/>
      <c r="P30" s="415">
        <f>IF('Tournament Map'!P28="","",'Tournament Map'!P28)</f>
        <v/>
      </c>
      <c r="Q30" s="1" t="n"/>
      <c r="R30" s="1" t="n"/>
      <c r="S30" s="372" t="n"/>
      <c r="T30" s="364" t="n"/>
      <c r="U30" s="364" t="n"/>
      <c r="V30" s="364" t="n"/>
      <c r="W30" s="364" t="n"/>
      <c r="X30" s="364" t="n"/>
      <c r="Y30" s="364" t="n"/>
      <c r="Z30" s="415">
        <f>IF('Tournament Map'!Z28="","",'Tournament Map'!Z28)</f>
        <v/>
      </c>
      <c r="AA30" s="1" t="n"/>
      <c r="AB30" s="1" t="n"/>
      <c r="AC30" s="372" t="n"/>
      <c r="AD30" s="364" t="n"/>
      <c r="AE30" s="364" t="n"/>
      <c r="AF30" s="364" t="n"/>
      <c r="AG30" s="364" t="n"/>
      <c r="AH30" s="364" t="n"/>
      <c r="AI30" s="364" t="n"/>
      <c r="AJ30" s="364" t="n"/>
      <c r="AK30" s="364" t="n"/>
      <c r="AL30" s="364" t="n"/>
      <c r="AM30" s="364" t="n"/>
      <c r="AN30" s="364" t="n"/>
      <c r="AO30" s="419">
        <f>IF('Tournament Map'!AP27="","","Winner: "&amp;'Tournament Map'!AP27)</f>
        <v/>
      </c>
      <c r="AP30" s="1" t="n"/>
      <c r="AQ30" s="1" t="n"/>
      <c r="AR30" s="1" t="n"/>
      <c r="AS30" s="293" t="n"/>
      <c r="AT30" s="293" t="n"/>
      <c r="AU30" s="311" t="n"/>
      <c r="AV30" s="293" t="n"/>
      <c r="AW30" s="293" t="n"/>
      <c r="AX30" s="293" t="n"/>
      <c r="AY30" s="293" t="n"/>
      <c r="AZ30" s="293" t="n"/>
    </row>
    <row r="31" ht="18" customHeight="1" s="28">
      <c r="A31" s="364" t="n"/>
      <c r="B31" s="364" t="n"/>
      <c r="C31" s="364" t="n"/>
      <c r="D31" s="364" t="n"/>
      <c r="E31" s="364" t="n"/>
      <c r="F31" s="364" t="n"/>
      <c r="G31" s="364" t="n"/>
      <c r="H31" s="364" t="n"/>
      <c r="I31" s="364" t="n"/>
      <c r="J31" s="364" t="n"/>
      <c r="K31" s="364" t="n"/>
      <c r="L31" s="364" t="n"/>
      <c r="M31" s="364" t="n"/>
      <c r="N31" s="364" t="n"/>
      <c r="O31" s="364" t="n"/>
      <c r="P31" s="415">
        <f>IF('Tournament Map'!P29="","",'Tournament Map'!P29)</f>
        <v/>
      </c>
      <c r="Q31" s="1" t="n"/>
      <c r="R31" s="1" t="n"/>
      <c r="S31" s="372" t="n"/>
      <c r="T31" s="364" t="n"/>
      <c r="U31" s="364" t="n"/>
      <c r="V31" s="364" t="n"/>
      <c r="W31" s="364" t="n"/>
      <c r="X31" s="364" t="n"/>
      <c r="Y31" s="364" t="n"/>
      <c r="Z31" s="415">
        <f>IF('Tournament Map'!Z29="","",'Tournament Map'!Z29)</f>
        <v/>
      </c>
      <c r="AA31" s="1" t="n"/>
      <c r="AB31" s="1" t="n"/>
      <c r="AC31" s="372" t="n"/>
      <c r="AD31" s="364" t="n"/>
      <c r="AE31" s="364" t="n"/>
      <c r="AF31" s="364" t="n"/>
      <c r="AG31" s="364" t="n"/>
      <c r="AH31" s="364" t="n"/>
      <c r="AI31" s="364" t="n"/>
      <c r="AJ31" s="364" t="n"/>
      <c r="AK31" s="364" t="n"/>
      <c r="AL31" s="364" t="n"/>
      <c r="AM31" s="364" t="n"/>
      <c r="AN31" s="364" t="n"/>
      <c r="AO31" s="364" t="n"/>
      <c r="AP31" s="364" t="n"/>
      <c r="AQ31" s="364" t="n"/>
      <c r="AR31" s="364" t="n"/>
      <c r="AS31" s="293" t="n"/>
      <c r="AT31" s="293" t="n"/>
      <c r="AU31" s="311">
        <f>'Tournament Map'!A49</f>
        <v/>
      </c>
      <c r="AV31" s="293" t="n"/>
      <c r="AW31" s="293" t="n"/>
      <c r="AX31" s="293" t="n"/>
      <c r="AY31" s="293" t="n"/>
      <c r="AZ31" s="293" t="n"/>
    </row>
    <row r="32" ht="18" customHeight="1" s="28">
      <c r="A32" s="364" t="n"/>
      <c r="B32" s="364" t="n"/>
      <c r="C32" s="364" t="n"/>
      <c r="D32" s="364" t="n"/>
      <c r="E32" s="364" t="n"/>
      <c r="F32" s="364" t="n"/>
      <c r="G32" s="364" t="n"/>
      <c r="H32" s="364" t="n"/>
      <c r="I32" s="364" t="n"/>
      <c r="J32" s="364" t="n"/>
      <c r="K32" s="364" t="n"/>
      <c r="L32" s="364" t="n"/>
      <c r="M32" s="364" t="n"/>
      <c r="N32" s="364" t="n"/>
      <c r="O32" s="364" t="n"/>
      <c r="P32" s="374" t="inlineStr">
        <is>
          <t>Pick</t>
        </is>
      </c>
      <c r="Q32" s="417" t="n"/>
      <c r="R32" s="1" t="n"/>
      <c r="S32" s="1" t="n"/>
      <c r="T32" s="364" t="n"/>
      <c r="U32" s="364" t="n"/>
      <c r="V32" s="364" t="n"/>
      <c r="W32" s="364" t="n"/>
      <c r="X32" s="364" t="n"/>
      <c r="Y32" s="364" t="n"/>
      <c r="Z32" s="374" t="inlineStr">
        <is>
          <t>Pick</t>
        </is>
      </c>
      <c r="AA32" s="417" t="n"/>
      <c r="AB32" s="1" t="n"/>
      <c r="AC32" s="1" t="n"/>
      <c r="AD32" s="364" t="n"/>
      <c r="AE32" s="364" t="n"/>
      <c r="AF32" s="364" t="n"/>
      <c r="AG32" s="364" t="n"/>
      <c r="AH32" s="364" t="n"/>
      <c r="AI32" s="364" t="n"/>
      <c r="AJ32" s="364" t="n"/>
      <c r="AK32" s="364" t="n"/>
      <c r="AL32" s="364" t="n"/>
      <c r="AM32" s="364" t="n"/>
      <c r="AN32" s="364" t="n"/>
      <c r="AO32" s="364" t="n"/>
      <c r="AP32" s="364" t="n"/>
      <c r="AQ32" s="364" t="n"/>
      <c r="AR32" s="364" t="n"/>
      <c r="AS32" s="293" t="n"/>
      <c r="AT32" s="293" t="n"/>
      <c r="AU32" s="311">
        <f>'Tournament Map'!A50</f>
        <v/>
      </c>
      <c r="AV32" s="293" t="n"/>
      <c r="AW32" s="293" t="n"/>
      <c r="AX32" s="293" t="n"/>
      <c r="AY32" s="293" t="n"/>
      <c r="AZ32" s="293" t="n"/>
    </row>
    <row r="33" ht="18" customHeight="1" s="28">
      <c r="A33" s="414" t="inlineStr">
        <is>
          <t>M83 | Round of 32</t>
        </is>
      </c>
      <c r="B33" s="1" t="n"/>
      <c r="C33" s="1" t="n"/>
      <c r="D33" s="1" t="n"/>
      <c r="E33" s="364" t="n"/>
      <c r="F33" s="364" t="n"/>
      <c r="G33" s="364" t="n"/>
      <c r="H33" s="364" t="n"/>
      <c r="I33" s="364" t="n"/>
      <c r="J33" s="364" t="n"/>
      <c r="K33" s="364" t="n"/>
      <c r="L33" s="364" t="n"/>
      <c r="M33" s="364" t="n"/>
      <c r="N33" s="364" t="n"/>
      <c r="O33" s="364" t="n"/>
      <c r="P33" s="419">
        <f>IF('Tournament Map'!Q30="","","Winner: "&amp;'Tournament Map'!Q30)</f>
        <v/>
      </c>
      <c r="Q33" s="1" t="n"/>
      <c r="R33" s="1" t="n"/>
      <c r="S33" s="1" t="n"/>
      <c r="T33" s="364" t="n"/>
      <c r="U33" s="364" t="n"/>
      <c r="V33" s="364" t="n"/>
      <c r="W33" s="364" t="n"/>
      <c r="X33" s="364" t="n"/>
      <c r="Y33" s="364" t="n"/>
      <c r="Z33" s="419">
        <f>IF('Tournament Map'!AA30="","","Winner: "&amp;'Tournament Map'!AA30)</f>
        <v/>
      </c>
      <c r="AA33" s="1" t="n"/>
      <c r="AB33" s="1" t="n"/>
      <c r="AC33" s="1" t="n"/>
      <c r="AD33" s="364" t="n"/>
      <c r="AE33" s="364" t="n"/>
      <c r="AF33" s="364" t="n"/>
      <c r="AG33" s="364" t="n"/>
      <c r="AH33" s="364" t="n"/>
      <c r="AI33" s="364" t="n"/>
      <c r="AJ33" s="364" t="n"/>
      <c r="AK33" s="364" t="n"/>
      <c r="AL33" s="364" t="n"/>
      <c r="AM33" s="364" t="n"/>
      <c r="AN33" s="364" t="n"/>
      <c r="AO33" s="414" t="inlineStr">
        <is>
          <t>M86 | Round of 32</t>
        </is>
      </c>
      <c r="AP33" s="1" t="n"/>
      <c r="AQ33" s="1" t="n"/>
      <c r="AR33" s="1" t="n"/>
      <c r="AS33" s="293" t="n"/>
      <c r="AT33" s="293" t="n"/>
      <c r="AU33" s="293" t="n"/>
      <c r="AV33" s="293" t="n"/>
      <c r="AW33" s="293" t="n"/>
      <c r="AX33" s="293" t="n"/>
      <c r="AY33" s="293" t="n"/>
      <c r="AZ33" s="293" t="n"/>
    </row>
    <row r="34" ht="18" customHeight="1" s="28">
      <c r="A34" s="415">
        <f>IF('Tournament Map'!A31="","",'Tournament Map'!A31)</f>
        <v/>
      </c>
      <c r="B34" s="1" t="n"/>
      <c r="C34" s="1" t="n"/>
      <c r="D34" s="372" t="n"/>
      <c r="E34" s="364" t="n"/>
      <c r="F34" s="364" t="n"/>
      <c r="G34" s="364" t="n"/>
      <c r="H34" s="364" t="n"/>
      <c r="I34" s="364" t="n"/>
      <c r="J34" s="364" t="n"/>
      <c r="K34" s="364" t="n"/>
      <c r="L34" s="364" t="n"/>
      <c r="M34" s="364" t="n"/>
      <c r="N34" s="364" t="n"/>
      <c r="O34" s="364" t="n"/>
      <c r="P34" s="364" t="n"/>
      <c r="Q34" s="364" t="n"/>
      <c r="R34" s="364" t="n"/>
      <c r="S34" s="364" t="n"/>
      <c r="T34" s="364" t="n"/>
      <c r="U34" s="364" t="n"/>
      <c r="V34" s="364" t="n"/>
      <c r="W34" s="364" t="n"/>
      <c r="X34" s="364" t="n"/>
      <c r="Y34" s="364" t="n"/>
      <c r="Z34" s="364" t="n"/>
      <c r="AA34" s="364" t="n"/>
      <c r="AB34" s="364" t="n"/>
      <c r="AC34" s="364" t="n"/>
      <c r="AD34" s="364" t="n"/>
      <c r="AE34" s="364" t="n"/>
      <c r="AF34" s="364" t="n"/>
      <c r="AG34" s="364" t="n"/>
      <c r="AH34" s="364" t="n"/>
      <c r="AI34" s="364" t="n"/>
      <c r="AJ34" s="364" t="n"/>
      <c r="AK34" s="364" t="n"/>
      <c r="AL34" s="364" t="n"/>
      <c r="AM34" s="364" t="n"/>
      <c r="AN34" s="364" t="n"/>
      <c r="AO34" s="415">
        <f>IF('Tournament Map'!AO31="","",'Tournament Map'!AO31)</f>
        <v/>
      </c>
      <c r="AP34" s="1" t="n"/>
      <c r="AQ34" s="1" t="n"/>
      <c r="AR34" s="372" t="n"/>
      <c r="AS34" s="293" t="n"/>
      <c r="AT34" s="293" t="n"/>
      <c r="AU34" s="311" t="n"/>
      <c r="AV34" s="293" t="n"/>
      <c r="AW34" s="293" t="n"/>
      <c r="AX34" s="293" t="n"/>
      <c r="AY34" s="293" t="n"/>
      <c r="AZ34" s="293" t="n"/>
    </row>
    <row r="35" ht="18" customHeight="1" s="28">
      <c r="A35" s="415">
        <f>IF('Tournament Map'!A32="","",'Tournament Map'!A32)</f>
        <v/>
      </c>
      <c r="B35" s="1" t="n"/>
      <c r="C35" s="1" t="n"/>
      <c r="D35" s="372" t="n"/>
      <c r="E35" s="364" t="n"/>
      <c r="F35" s="364" t="n"/>
      <c r="G35" s="364" t="n"/>
      <c r="H35" s="364" t="n"/>
      <c r="I35" s="364" t="n"/>
      <c r="J35" s="364" t="n"/>
      <c r="K35" s="364" t="n"/>
      <c r="L35" s="364" t="n"/>
      <c r="M35" s="364" t="n"/>
      <c r="N35" s="364" t="n"/>
      <c r="O35" s="364" t="n"/>
      <c r="P35" s="364" t="n"/>
      <c r="Q35" s="364" t="n"/>
      <c r="R35" s="364" t="n"/>
      <c r="S35" s="364" t="n"/>
      <c r="T35" s="364" t="n"/>
      <c r="U35" s="364" t="n"/>
      <c r="V35" s="364" t="n"/>
      <c r="W35" s="364" t="n"/>
      <c r="X35" s="364" t="n"/>
      <c r="Y35" s="364" t="n"/>
      <c r="Z35" s="364" t="n"/>
      <c r="AA35" s="364" t="n"/>
      <c r="AB35" s="364" t="n"/>
      <c r="AC35" s="364" t="n"/>
      <c r="AD35" s="364" t="n"/>
      <c r="AE35" s="364" t="n"/>
      <c r="AF35" s="364" t="n"/>
      <c r="AG35" s="364" t="n"/>
      <c r="AH35" s="364" t="n"/>
      <c r="AI35" s="364" t="n"/>
      <c r="AJ35" s="364" t="n"/>
      <c r="AK35" s="364" t="n"/>
      <c r="AL35" s="364" t="n"/>
      <c r="AM35" s="364" t="n"/>
      <c r="AN35" s="364" t="n"/>
      <c r="AO35" s="415">
        <f>IF('Tournament Map'!AO32="","",'Tournament Map'!AO32)</f>
        <v/>
      </c>
      <c r="AP35" s="1" t="n"/>
      <c r="AQ35" s="1" t="n"/>
      <c r="AR35" s="372" t="n"/>
      <c r="AS35" s="293" t="n"/>
      <c r="AT35" s="293" t="n"/>
      <c r="AU35" s="311">
        <f>'Tournament Map'!F10</f>
        <v/>
      </c>
      <c r="AV35" s="293" t="n"/>
      <c r="AW35" s="293" t="n"/>
      <c r="AX35" s="293" t="n"/>
      <c r="AY35" s="293" t="n"/>
      <c r="AZ35" s="293" t="n"/>
    </row>
    <row r="36" ht="18" customHeight="1" s="28">
      <c r="A36" s="374" t="inlineStr">
        <is>
          <t>Pick</t>
        </is>
      </c>
      <c r="B36" s="417" t="n"/>
      <c r="C36" s="1" t="n"/>
      <c r="D36" s="1" t="n"/>
      <c r="E36" s="364" t="n"/>
      <c r="F36" s="414" t="inlineStr">
        <is>
          <t>M93 | Round of 16</t>
        </is>
      </c>
      <c r="G36" s="1" t="n"/>
      <c r="H36" s="1" t="n"/>
      <c r="I36" s="1" t="n"/>
      <c r="J36" s="364" t="n"/>
      <c r="K36" s="364" t="n"/>
      <c r="L36" s="364" t="n"/>
      <c r="M36" s="364" t="n"/>
      <c r="N36" s="364" t="n"/>
      <c r="O36" s="364" t="n"/>
      <c r="P36" s="364" t="n"/>
      <c r="Q36" s="364" t="n"/>
      <c r="R36" s="364" t="n"/>
      <c r="S36" s="364" t="n"/>
      <c r="T36" s="364" t="n"/>
      <c r="U36" s="364" t="n"/>
      <c r="V36" s="364" t="n"/>
      <c r="W36" s="364" t="n"/>
      <c r="X36" s="364" t="n"/>
      <c r="Y36" s="364" t="n"/>
      <c r="Z36" s="364" t="n"/>
      <c r="AA36" s="364" t="n"/>
      <c r="AB36" s="364" t="n"/>
      <c r="AC36" s="364" t="n"/>
      <c r="AD36" s="364" t="n"/>
      <c r="AE36" s="364" t="n"/>
      <c r="AF36" s="364" t="n"/>
      <c r="AG36" s="364" t="n"/>
      <c r="AH36" s="364" t="n"/>
      <c r="AI36" s="364" t="n"/>
      <c r="AJ36" s="414" t="inlineStr">
        <is>
          <t>M95 | Round of 16</t>
        </is>
      </c>
      <c r="AK36" s="1" t="n"/>
      <c r="AL36" s="1" t="n"/>
      <c r="AM36" s="1" t="n"/>
      <c r="AN36" s="364" t="n"/>
      <c r="AO36" s="374" t="inlineStr">
        <is>
          <t>Pick</t>
        </is>
      </c>
      <c r="AP36" s="417" t="n"/>
      <c r="AQ36" s="1" t="n"/>
      <c r="AR36" s="1" t="n"/>
      <c r="AS36" s="293" t="n"/>
      <c r="AT36" s="293" t="n"/>
      <c r="AU36" s="311">
        <f>'Tournament Map'!F11</f>
        <v/>
      </c>
      <c r="AV36" s="293" t="n"/>
      <c r="AW36" s="293" t="n"/>
      <c r="AX36" s="293" t="n"/>
      <c r="AY36" s="293" t="n"/>
      <c r="AZ36" s="293" t="n"/>
    </row>
    <row r="37" ht="18" customHeight="1" s="28">
      <c r="A37" s="419">
        <f>IF('Tournament Map'!B33="","","Winner: "&amp;'Tournament Map'!B33)</f>
        <v/>
      </c>
      <c r="B37" s="1" t="n"/>
      <c r="C37" s="1" t="n"/>
      <c r="D37" s="1" t="n"/>
      <c r="E37" s="364" t="n"/>
      <c r="F37" s="415">
        <f>IF('Tournament Map'!F34="","",'Tournament Map'!F34)</f>
        <v/>
      </c>
      <c r="G37" s="1" t="n"/>
      <c r="H37" s="1" t="n"/>
      <c r="I37" s="372" t="n"/>
      <c r="J37" s="364" t="n"/>
      <c r="K37" s="364" t="n"/>
      <c r="L37" s="364" t="n"/>
      <c r="M37" s="364" t="n"/>
      <c r="N37" s="364" t="n"/>
      <c r="O37" s="364" t="n"/>
      <c r="P37" s="364" t="n"/>
      <c r="Q37" s="364" t="n"/>
      <c r="R37" s="364" t="n"/>
      <c r="S37" s="364" t="n"/>
      <c r="T37" s="364" t="n"/>
      <c r="U37" s="364" t="n"/>
      <c r="V37" s="364" t="n"/>
      <c r="W37" s="364" t="n"/>
      <c r="X37" s="364" t="n"/>
      <c r="Y37" s="364" t="n"/>
      <c r="Z37" s="364" t="n"/>
      <c r="AA37" s="364" t="n"/>
      <c r="AB37" s="364" t="n"/>
      <c r="AC37" s="364" t="n"/>
      <c r="AD37" s="364" t="n"/>
      <c r="AE37" s="364" t="n"/>
      <c r="AF37" s="364" t="n"/>
      <c r="AG37" s="364" t="n"/>
      <c r="AH37" s="364" t="n"/>
      <c r="AI37" s="364" t="n"/>
      <c r="AJ37" s="415">
        <f>IF('Tournament Map'!AJ34="","",'Tournament Map'!AJ34)</f>
        <v/>
      </c>
      <c r="AK37" s="1" t="n"/>
      <c r="AL37" s="1" t="n"/>
      <c r="AM37" s="372" t="n"/>
      <c r="AN37" s="364" t="n"/>
      <c r="AO37" s="419">
        <f>IF('Tournament Map'!AP33="","","Winner: "&amp;'Tournament Map'!AP33)</f>
        <v/>
      </c>
      <c r="AP37" s="1" t="n"/>
      <c r="AQ37" s="1" t="n"/>
      <c r="AR37" s="1" t="n"/>
      <c r="AS37" s="293" t="n"/>
      <c r="AT37" s="293" t="n"/>
      <c r="AU37" s="293" t="n"/>
      <c r="AV37" s="293" t="n"/>
      <c r="AW37" s="293" t="n"/>
      <c r="AX37" s="293" t="n"/>
      <c r="AY37" s="293" t="n"/>
      <c r="AZ37" s="293" t="n"/>
    </row>
    <row r="38" ht="18" customHeight="1" s="28">
      <c r="A38" s="364" t="n"/>
      <c r="B38" s="364" t="n"/>
      <c r="C38" s="364" t="n"/>
      <c r="D38" s="364" t="n"/>
      <c r="E38" s="364" t="n"/>
      <c r="F38" s="415">
        <f>IF('Tournament Map'!F35="","",'Tournament Map'!F35)</f>
        <v/>
      </c>
      <c r="G38" s="1" t="n"/>
      <c r="H38" s="1" t="n"/>
      <c r="I38" s="372" t="n"/>
      <c r="J38" s="364" t="n"/>
      <c r="K38" s="364" t="n"/>
      <c r="L38" s="364" t="n"/>
      <c r="M38" s="364" t="n"/>
      <c r="N38" s="364" t="n"/>
      <c r="O38" s="364" t="n"/>
      <c r="P38" s="364" t="n"/>
      <c r="Q38" s="364" t="n"/>
      <c r="R38" s="364" t="n"/>
      <c r="S38" s="364" t="n"/>
      <c r="T38" s="364" t="n"/>
      <c r="U38" s="364" t="n"/>
      <c r="V38" s="364" t="n"/>
      <c r="W38" s="364" t="n"/>
      <c r="X38" s="364" t="n"/>
      <c r="Y38" s="364" t="n"/>
      <c r="Z38" s="364" t="n"/>
      <c r="AA38" s="364" t="n"/>
      <c r="AB38" s="364" t="n"/>
      <c r="AC38" s="364" t="n"/>
      <c r="AD38" s="364" t="n"/>
      <c r="AE38" s="364" t="n"/>
      <c r="AF38" s="364" t="n"/>
      <c r="AG38" s="364" t="n"/>
      <c r="AH38" s="364" t="n"/>
      <c r="AI38" s="364" t="n"/>
      <c r="AJ38" s="415">
        <f>IF('Tournament Map'!AJ35="","",'Tournament Map'!AJ35)</f>
        <v/>
      </c>
      <c r="AK38" s="1" t="n"/>
      <c r="AL38" s="1" t="n"/>
      <c r="AM38" s="372" t="n"/>
      <c r="AN38" s="364" t="n"/>
      <c r="AO38" s="364" t="n"/>
      <c r="AP38" s="364" t="n"/>
      <c r="AQ38" s="364" t="n"/>
      <c r="AR38" s="364" t="n"/>
      <c r="AS38" s="293" t="n"/>
      <c r="AT38" s="293" t="n"/>
      <c r="AU38" s="311" t="n"/>
      <c r="AV38" s="293" t="n"/>
      <c r="AW38" s="293" t="n"/>
      <c r="AX38" s="293" t="n"/>
      <c r="AY38" s="293" t="n"/>
      <c r="AZ38" s="293" t="n"/>
    </row>
    <row r="39" ht="18" customHeight="1" s="28">
      <c r="A39" s="364" t="n"/>
      <c r="B39" s="364" t="n"/>
      <c r="C39" s="364" t="n"/>
      <c r="D39" s="364" t="n"/>
      <c r="E39" s="364" t="n"/>
      <c r="F39" s="374" t="inlineStr">
        <is>
          <t>Pick</t>
        </is>
      </c>
      <c r="G39" s="417" t="n"/>
      <c r="H39" s="1" t="n"/>
      <c r="I39" s="1" t="n"/>
      <c r="J39" s="364" t="n"/>
      <c r="K39" s="364" t="n"/>
      <c r="L39" s="364" t="n"/>
      <c r="M39" s="364" t="n"/>
      <c r="N39" s="364" t="n"/>
      <c r="O39" s="364" t="n"/>
      <c r="P39" s="364" t="n"/>
      <c r="Q39" s="364" t="n"/>
      <c r="R39" s="364" t="n"/>
      <c r="S39" s="364" t="n"/>
      <c r="T39" s="364" t="n"/>
      <c r="U39" s="364" t="n"/>
      <c r="V39" s="364" t="n"/>
      <c r="W39" s="364" t="n"/>
      <c r="X39" s="364" t="n"/>
      <c r="Y39" s="364" t="n"/>
      <c r="Z39" s="364" t="n"/>
      <c r="AA39" s="364" t="n"/>
      <c r="AB39" s="364" t="n"/>
      <c r="AC39" s="364" t="n"/>
      <c r="AD39" s="364" t="n"/>
      <c r="AE39" s="364" t="n"/>
      <c r="AF39" s="364" t="n"/>
      <c r="AG39" s="364" t="n"/>
      <c r="AH39" s="364" t="n"/>
      <c r="AI39" s="364" t="n"/>
      <c r="AJ39" s="374" t="inlineStr">
        <is>
          <t>Pick</t>
        </is>
      </c>
      <c r="AK39" s="417" t="n"/>
      <c r="AL39" s="1" t="n"/>
      <c r="AM39" s="1" t="n"/>
      <c r="AN39" s="364" t="n"/>
      <c r="AO39" s="364" t="n"/>
      <c r="AP39" s="364" t="n"/>
      <c r="AQ39" s="364" t="n"/>
      <c r="AR39" s="364" t="n"/>
      <c r="AS39" s="293" t="n"/>
      <c r="AT39" s="293" t="n"/>
      <c r="AU39" s="311">
        <f>'Tournament Map'!F22</f>
        <v/>
      </c>
      <c r="AV39" s="293" t="n"/>
      <c r="AW39" s="293" t="n"/>
      <c r="AX39" s="293" t="n"/>
      <c r="AY39" s="293" t="n"/>
      <c r="AZ39" s="293" t="n"/>
    </row>
    <row r="40" ht="18" customHeight="1" s="28">
      <c r="A40" s="414" t="inlineStr">
        <is>
          <t>M84 | Round of 32</t>
        </is>
      </c>
      <c r="B40" s="1" t="n"/>
      <c r="C40" s="1" t="n"/>
      <c r="D40" s="1" t="n"/>
      <c r="E40" s="364" t="n"/>
      <c r="F40" s="419">
        <f>IF('Tournament Map'!G36="","","Winner: "&amp;'Tournament Map'!G36)</f>
        <v/>
      </c>
      <c r="G40" s="1" t="n"/>
      <c r="H40" s="1" t="n"/>
      <c r="I40" s="1" t="n"/>
      <c r="J40" s="364" t="n"/>
      <c r="K40" s="364" t="n"/>
      <c r="L40" s="364" t="n"/>
      <c r="M40" s="364" t="n"/>
      <c r="N40" s="364" t="n"/>
      <c r="O40" s="364" t="n"/>
      <c r="P40" s="364" t="n"/>
      <c r="Q40" s="364" t="n"/>
      <c r="R40" s="364" t="n"/>
      <c r="S40" s="364" t="n"/>
      <c r="T40" s="364" t="n"/>
      <c r="U40" s="364" t="n"/>
      <c r="V40" s="364" t="n"/>
      <c r="W40" s="364" t="n"/>
      <c r="X40" s="364" t="n"/>
      <c r="Y40" s="364" t="n"/>
      <c r="Z40" s="364" t="n"/>
      <c r="AA40" s="364" t="n"/>
      <c r="AB40" s="364" t="n"/>
      <c r="AC40" s="364" t="n"/>
      <c r="AD40" s="364" t="n"/>
      <c r="AE40" s="364" t="n"/>
      <c r="AF40" s="364" t="n"/>
      <c r="AG40" s="364" t="n"/>
      <c r="AH40" s="364" t="n"/>
      <c r="AI40" s="364" t="n"/>
      <c r="AJ40" s="419">
        <f>IF('Tournament Map'!AK36="","","Winner: "&amp;'Tournament Map'!AK36)</f>
        <v/>
      </c>
      <c r="AK40" s="1" t="n"/>
      <c r="AL40" s="1" t="n"/>
      <c r="AM40" s="1" t="n"/>
      <c r="AN40" s="364" t="n"/>
      <c r="AO40" s="414" t="inlineStr">
        <is>
          <t>M88 | Round of 32</t>
        </is>
      </c>
      <c r="AP40" s="1" t="n"/>
      <c r="AQ40" s="1" t="n"/>
      <c r="AR40" s="1" t="n"/>
      <c r="AS40" s="293" t="n"/>
      <c r="AT40" s="293" t="n"/>
      <c r="AU40" s="311">
        <f>'Tournament Map'!F23</f>
        <v/>
      </c>
      <c r="AV40" s="293" t="n"/>
      <c r="AW40" s="293" t="n"/>
      <c r="AX40" s="293" t="n"/>
      <c r="AY40" s="293" t="n"/>
      <c r="AZ40" s="293" t="n"/>
    </row>
    <row r="41" ht="18" customHeight="1" s="28">
      <c r="A41" s="415">
        <f>IF('Tournament Map'!A37="","",'Tournament Map'!A37)</f>
        <v/>
      </c>
      <c r="B41" s="1" t="n"/>
      <c r="C41" s="1" t="n"/>
      <c r="D41" s="372" t="n"/>
      <c r="E41" s="364" t="n"/>
      <c r="F41" s="364" t="n"/>
      <c r="G41" s="364" t="n"/>
      <c r="H41" s="364" t="n"/>
      <c r="I41" s="364" t="n"/>
      <c r="J41" s="364" t="n"/>
      <c r="K41" s="364" t="n"/>
      <c r="L41" s="364" t="n"/>
      <c r="M41" s="364" t="n"/>
      <c r="N41" s="364" t="n"/>
      <c r="O41" s="364" t="n"/>
      <c r="P41" s="364" t="n"/>
      <c r="Q41" s="364" t="n"/>
      <c r="R41" s="364" t="n"/>
      <c r="S41" s="364" t="n"/>
      <c r="T41" s="364" t="n"/>
      <c r="U41" s="364" t="n"/>
      <c r="V41" s="364" t="n"/>
      <c r="W41" s="364" t="n"/>
      <c r="X41" s="364" t="n"/>
      <c r="Y41" s="364" t="n"/>
      <c r="Z41" s="364" t="n"/>
      <c r="AA41" s="364" t="n"/>
      <c r="AB41" s="364" t="n"/>
      <c r="AC41" s="364" t="n"/>
      <c r="AD41" s="364" t="n"/>
      <c r="AE41" s="364" t="n"/>
      <c r="AF41" s="364" t="n"/>
      <c r="AG41" s="364" t="n"/>
      <c r="AH41" s="364" t="n"/>
      <c r="AI41" s="364" t="n"/>
      <c r="AJ41" s="364" t="n"/>
      <c r="AK41" s="364" t="n"/>
      <c r="AL41" s="364" t="n"/>
      <c r="AM41" s="364" t="n"/>
      <c r="AN41" s="364" t="n"/>
      <c r="AO41" s="415">
        <f>IF('Tournament Map'!AO37="","",'Tournament Map'!AO37)</f>
        <v/>
      </c>
      <c r="AP41" s="1" t="n"/>
      <c r="AQ41" s="1" t="n"/>
      <c r="AR41" s="372" t="n"/>
      <c r="AS41" s="293" t="n"/>
      <c r="AT41" s="293" t="n"/>
      <c r="AU41" s="293" t="n"/>
      <c r="AV41" s="293" t="n"/>
      <c r="AW41" s="293" t="n"/>
      <c r="AX41" s="293" t="n"/>
      <c r="AY41" s="293" t="n"/>
      <c r="AZ41" s="293" t="n"/>
    </row>
    <row r="42" ht="18" customHeight="1" s="28">
      <c r="A42" s="415">
        <f>IF('Tournament Map'!A38="","",'Tournament Map'!A38)</f>
        <v/>
      </c>
      <c r="B42" s="1" t="n"/>
      <c r="C42" s="1" t="n"/>
      <c r="D42" s="372" t="n"/>
      <c r="E42" s="364" t="n"/>
      <c r="F42" s="364" t="n"/>
      <c r="G42" s="364" t="n"/>
      <c r="H42" s="364" t="n"/>
      <c r="I42" s="364" t="n"/>
      <c r="J42" s="364" t="n"/>
      <c r="K42" s="364" t="n"/>
      <c r="L42" s="364" t="n"/>
      <c r="M42" s="364" t="n"/>
      <c r="N42" s="364" t="n"/>
      <c r="O42" s="364" t="n"/>
      <c r="P42" s="364" t="n"/>
      <c r="Q42" s="364" t="n"/>
      <c r="R42" s="364" t="n"/>
      <c r="S42" s="364" t="n"/>
      <c r="T42" s="364" t="n"/>
      <c r="U42" s="422" t="inlineStr">
        <is>
          <t>M103 | Third place</t>
        </is>
      </c>
      <c r="V42" s="1" t="n"/>
      <c r="W42" s="1" t="n"/>
      <c r="X42" s="1" t="n"/>
      <c r="Y42" s="364" t="n"/>
      <c r="Z42" s="364" t="n"/>
      <c r="AA42" s="364" t="n"/>
      <c r="AB42" s="364" t="n"/>
      <c r="AC42" s="364" t="n"/>
      <c r="AD42" s="364" t="n"/>
      <c r="AE42" s="364" t="n"/>
      <c r="AF42" s="364" t="n"/>
      <c r="AG42" s="364" t="n"/>
      <c r="AH42" s="364" t="n"/>
      <c r="AI42" s="364" t="n"/>
      <c r="AJ42" s="364" t="n"/>
      <c r="AK42" s="364" t="n"/>
      <c r="AL42" s="364" t="n"/>
      <c r="AM42" s="364" t="n"/>
      <c r="AN42" s="364" t="n"/>
      <c r="AO42" s="415">
        <f>IF('Tournament Map'!AO38="","",'Tournament Map'!AO38)</f>
        <v/>
      </c>
      <c r="AP42" s="1" t="n"/>
      <c r="AQ42" s="1" t="n"/>
      <c r="AR42" s="372" t="n"/>
      <c r="AS42" s="293" t="n"/>
      <c r="AT42" s="293" t="n"/>
      <c r="AU42" s="311" t="n"/>
      <c r="AV42" s="293" t="n"/>
      <c r="AW42" s="293" t="n"/>
      <c r="AX42" s="293" t="n"/>
      <c r="AY42" s="293" t="n"/>
      <c r="AZ42" s="293" t="n"/>
    </row>
    <row r="43" ht="18" customHeight="1" s="28">
      <c r="A43" s="374" t="inlineStr">
        <is>
          <t>Pick</t>
        </is>
      </c>
      <c r="B43" s="417" t="n"/>
      <c r="C43" s="1" t="n"/>
      <c r="D43" s="1" t="n"/>
      <c r="E43" s="364" t="n"/>
      <c r="F43" s="364" t="n"/>
      <c r="G43" s="364" t="n"/>
      <c r="H43" s="364" t="n"/>
      <c r="I43" s="364" t="n"/>
      <c r="J43" s="364" t="n"/>
      <c r="K43" s="414" t="inlineStr">
        <is>
          <t>M98 | Quarterfinal</t>
        </is>
      </c>
      <c r="L43" s="1" t="n"/>
      <c r="M43" s="1" t="n"/>
      <c r="N43" s="1" t="n"/>
      <c r="O43" s="364" t="n"/>
      <c r="P43" s="364" t="n"/>
      <c r="Q43" s="364" t="n"/>
      <c r="R43" s="364" t="n"/>
      <c r="S43" s="364" t="n"/>
      <c r="T43" s="364" t="n"/>
      <c r="U43" s="415">
        <f>IF('Tournament Map'!U39="","",'Tournament Map'!U39)</f>
        <v/>
      </c>
      <c r="V43" s="1" t="n"/>
      <c r="W43" s="1" t="n"/>
      <c r="X43" s="372" t="n"/>
      <c r="Y43" s="364" t="n"/>
      <c r="Z43" s="364" t="n"/>
      <c r="AA43" s="364" t="n"/>
      <c r="AB43" s="364" t="n"/>
      <c r="AC43" s="364" t="n"/>
      <c r="AD43" s="364" t="n"/>
      <c r="AE43" s="414" t="inlineStr">
        <is>
          <t>M100 | Quarterfinal</t>
        </is>
      </c>
      <c r="AF43" s="1" t="n"/>
      <c r="AG43" s="1" t="n"/>
      <c r="AH43" s="1" t="n"/>
      <c r="AI43" s="364" t="n"/>
      <c r="AJ43" s="364" t="n"/>
      <c r="AK43" s="364" t="n"/>
      <c r="AL43" s="364" t="n"/>
      <c r="AM43" s="364" t="n"/>
      <c r="AN43" s="364" t="n"/>
      <c r="AO43" s="374" t="inlineStr">
        <is>
          <t>Pick</t>
        </is>
      </c>
      <c r="AP43" s="417" t="n"/>
      <c r="AQ43" s="1" t="n"/>
      <c r="AR43" s="1" t="n"/>
      <c r="AS43" s="293" t="n"/>
      <c r="AT43" s="293" t="n"/>
      <c r="AU43" s="311">
        <f>'Tournament Map'!F34</f>
        <v/>
      </c>
      <c r="AV43" s="293" t="n"/>
      <c r="AW43" s="293" t="n"/>
      <c r="AX43" s="293" t="n"/>
      <c r="AY43" s="293" t="n"/>
      <c r="AZ43" s="293" t="n"/>
    </row>
    <row r="44" ht="18" customHeight="1" s="28">
      <c r="A44" s="419">
        <f>IF('Tournament Map'!B39="","","Winner: "&amp;'Tournament Map'!B39)</f>
        <v/>
      </c>
      <c r="B44" s="1" t="n"/>
      <c r="C44" s="1" t="n"/>
      <c r="D44" s="1" t="n"/>
      <c r="E44" s="364" t="n"/>
      <c r="F44" s="364" t="n"/>
      <c r="G44" s="364" t="n"/>
      <c r="H44" s="364" t="n"/>
      <c r="I44" s="364" t="n"/>
      <c r="J44" s="364" t="n"/>
      <c r="K44" s="415">
        <f>IF('Tournament Map'!K40="","",'Tournament Map'!K40)</f>
        <v/>
      </c>
      <c r="L44" s="1" t="n"/>
      <c r="M44" s="1" t="n"/>
      <c r="N44" s="372" t="n"/>
      <c r="O44" s="364" t="n"/>
      <c r="P44" s="364" t="n"/>
      <c r="Q44" s="364" t="n"/>
      <c r="R44" s="364" t="n"/>
      <c r="S44" s="364" t="n"/>
      <c r="T44" s="364" t="n"/>
      <c r="U44" s="415">
        <f>IF('Tournament Map'!U40="","",'Tournament Map'!U40)</f>
        <v/>
      </c>
      <c r="V44" s="1" t="n"/>
      <c r="W44" s="1" t="n"/>
      <c r="X44" s="372" t="n"/>
      <c r="Y44" s="364" t="n"/>
      <c r="Z44" s="364" t="n"/>
      <c r="AA44" s="364" t="n"/>
      <c r="AB44" s="364" t="n"/>
      <c r="AC44" s="364" t="n"/>
      <c r="AD44" s="364" t="n"/>
      <c r="AE44" s="415">
        <f>IF('Tournament Map'!AE40="","",'Tournament Map'!AE40)</f>
        <v/>
      </c>
      <c r="AF44" s="1" t="n"/>
      <c r="AG44" s="1" t="n"/>
      <c r="AH44" s="372" t="n"/>
      <c r="AI44" s="364" t="n"/>
      <c r="AJ44" s="364" t="n"/>
      <c r="AK44" s="364" t="n"/>
      <c r="AL44" s="364" t="n"/>
      <c r="AM44" s="364" t="n"/>
      <c r="AN44" s="364" t="n"/>
      <c r="AO44" s="419">
        <f>IF('Tournament Map'!AP39="","","Winner: "&amp;'Tournament Map'!AP39)</f>
        <v/>
      </c>
      <c r="AP44" s="1" t="n"/>
      <c r="AQ44" s="1" t="n"/>
      <c r="AR44" s="1" t="n"/>
      <c r="AS44" s="293" t="n"/>
      <c r="AT44" s="293" t="n"/>
      <c r="AU44" s="311">
        <f>'Tournament Map'!F35</f>
        <v/>
      </c>
      <c r="AV44" s="293" t="n"/>
      <c r="AW44" s="293" t="n"/>
      <c r="AX44" s="293" t="n"/>
      <c r="AY44" s="293" t="n"/>
      <c r="AZ44" s="293" t="n"/>
    </row>
    <row r="45" ht="18" customHeight="1" s="28">
      <c r="A45" s="364" t="n"/>
      <c r="B45" s="364" t="n"/>
      <c r="C45" s="364" t="n"/>
      <c r="D45" s="364" t="n"/>
      <c r="E45" s="364" t="n"/>
      <c r="F45" s="364" t="n"/>
      <c r="G45" s="364" t="n"/>
      <c r="H45" s="364" t="n"/>
      <c r="I45" s="364" t="n"/>
      <c r="J45" s="364" t="n"/>
      <c r="K45" s="415">
        <f>IF('Tournament Map'!K41="","",'Tournament Map'!K41)</f>
        <v/>
      </c>
      <c r="L45" s="1" t="n"/>
      <c r="M45" s="1" t="n"/>
      <c r="N45" s="372" t="n"/>
      <c r="O45" s="364" t="n"/>
      <c r="P45" s="364" t="n"/>
      <c r="Q45" s="364" t="n"/>
      <c r="R45" s="364" t="n"/>
      <c r="S45" s="364" t="n"/>
      <c r="T45" s="364" t="n"/>
      <c r="U45" s="374" t="inlineStr">
        <is>
          <t>Pick</t>
        </is>
      </c>
      <c r="V45" s="417" t="n"/>
      <c r="W45" s="1" t="n"/>
      <c r="X45" s="1" t="n"/>
      <c r="Y45" s="364" t="n"/>
      <c r="Z45" s="364" t="n"/>
      <c r="AA45" s="364" t="n"/>
      <c r="AB45" s="364" t="n"/>
      <c r="AC45" s="364" t="n"/>
      <c r="AD45" s="364" t="n"/>
      <c r="AE45" s="415">
        <f>IF('Tournament Map'!AE41="","",'Tournament Map'!AE41)</f>
        <v/>
      </c>
      <c r="AF45" s="1" t="n"/>
      <c r="AG45" s="1" t="n"/>
      <c r="AH45" s="372" t="n"/>
      <c r="AI45" s="364" t="n"/>
      <c r="AJ45" s="364" t="n"/>
      <c r="AK45" s="364" t="n"/>
      <c r="AL45" s="364" t="n"/>
      <c r="AM45" s="364" t="n"/>
      <c r="AN45" s="364" t="n"/>
      <c r="AO45" s="364" t="n"/>
      <c r="AP45" s="364" t="n"/>
      <c r="AQ45" s="364" t="n"/>
      <c r="AR45" s="364" t="n"/>
      <c r="AS45" s="293" t="n"/>
      <c r="AT45" s="293" t="n"/>
      <c r="AU45" s="293" t="n"/>
      <c r="AV45" s="293" t="n"/>
      <c r="AW45" s="293" t="n"/>
      <c r="AX45" s="293" t="n"/>
      <c r="AY45" s="293" t="n"/>
      <c r="AZ45" s="293" t="n"/>
    </row>
    <row r="46" ht="18" customHeight="1" s="28">
      <c r="A46" s="364" t="n"/>
      <c r="B46" s="364" t="n"/>
      <c r="C46" s="364" t="n"/>
      <c r="D46" s="364" t="n"/>
      <c r="E46" s="364" t="n"/>
      <c r="F46" s="364" t="n"/>
      <c r="G46" s="364" t="n"/>
      <c r="H46" s="364" t="n"/>
      <c r="I46" s="364" t="n"/>
      <c r="J46" s="364" t="n"/>
      <c r="K46" s="374" t="inlineStr">
        <is>
          <t>Pick</t>
        </is>
      </c>
      <c r="L46" s="417" t="n"/>
      <c r="M46" s="1" t="n"/>
      <c r="N46" s="1" t="n"/>
      <c r="O46" s="364" t="n"/>
      <c r="P46" s="364" t="n"/>
      <c r="Q46" s="364" t="n"/>
      <c r="R46" s="364" t="n"/>
      <c r="S46" s="364" t="n"/>
      <c r="T46" s="364" t="n"/>
      <c r="U46" s="419">
        <f>IF('Tournament Map'!V41="","","Winner: "&amp;'Tournament Map'!V41)</f>
        <v/>
      </c>
      <c r="V46" s="1" t="n"/>
      <c r="W46" s="1" t="n"/>
      <c r="X46" s="1" t="n"/>
      <c r="Y46" s="364" t="n"/>
      <c r="Z46" s="364" t="n"/>
      <c r="AA46" s="364" t="n"/>
      <c r="AB46" s="364" t="n"/>
      <c r="AC46" s="364" t="n"/>
      <c r="AD46" s="364" t="n"/>
      <c r="AE46" s="374" t="inlineStr">
        <is>
          <t>Pick</t>
        </is>
      </c>
      <c r="AF46" s="417" t="n"/>
      <c r="AG46" s="1" t="n"/>
      <c r="AH46" s="1" t="n"/>
      <c r="AI46" s="364" t="n"/>
      <c r="AJ46" s="364" t="n"/>
      <c r="AK46" s="364" t="n"/>
      <c r="AL46" s="364" t="n"/>
      <c r="AM46" s="364" t="n"/>
      <c r="AN46" s="364" t="n"/>
      <c r="AO46" s="364" t="n"/>
      <c r="AP46" s="364" t="n"/>
      <c r="AQ46" s="364" t="n"/>
      <c r="AR46" s="364" t="n"/>
      <c r="AS46" s="293" t="n"/>
      <c r="AT46" s="293" t="n"/>
      <c r="AU46" s="311" t="n"/>
      <c r="AV46" s="293" t="n"/>
      <c r="AW46" s="293" t="n"/>
      <c r="AX46" s="293" t="n"/>
      <c r="AY46" s="293" t="n"/>
      <c r="AZ46" s="293" t="n"/>
    </row>
    <row r="47" ht="18" customHeight="1" s="28">
      <c r="A47" s="414" t="inlineStr">
        <is>
          <t>M81 | Round of 32</t>
        </is>
      </c>
      <c r="B47" s="1" t="n"/>
      <c r="C47" s="1" t="n"/>
      <c r="D47" s="1" t="n"/>
      <c r="E47" s="364" t="n"/>
      <c r="F47" s="364" t="n"/>
      <c r="G47" s="364" t="n"/>
      <c r="H47" s="364" t="n"/>
      <c r="I47" s="364" t="n"/>
      <c r="J47" s="364" t="n"/>
      <c r="K47" s="419">
        <f>IF('Tournament Map'!L42="","","Winner: "&amp;'Tournament Map'!L42)</f>
        <v/>
      </c>
      <c r="L47" s="1" t="n"/>
      <c r="M47" s="1" t="n"/>
      <c r="N47" s="1" t="n"/>
      <c r="O47" s="364" t="n"/>
      <c r="P47" s="364" t="n"/>
      <c r="Q47" s="364" t="n"/>
      <c r="R47" s="364" t="n"/>
      <c r="S47" s="364" t="n"/>
      <c r="T47" s="364" t="n"/>
      <c r="U47" s="364" t="n"/>
      <c r="V47" s="364" t="n"/>
      <c r="W47" s="364" t="n"/>
      <c r="X47" s="364" t="n"/>
      <c r="Y47" s="364" t="n"/>
      <c r="Z47" s="364" t="n"/>
      <c r="AA47" s="364" t="n"/>
      <c r="AB47" s="364" t="n"/>
      <c r="AC47" s="364" t="n"/>
      <c r="AD47" s="364" t="n"/>
      <c r="AE47" s="419">
        <f>IF('Tournament Map'!AF42="","","Winner: "&amp;'Tournament Map'!AF42)</f>
        <v/>
      </c>
      <c r="AF47" s="1" t="n"/>
      <c r="AG47" s="1" t="n"/>
      <c r="AH47" s="1" t="n"/>
      <c r="AI47" s="364" t="n"/>
      <c r="AJ47" s="364" t="n"/>
      <c r="AK47" s="364" t="n"/>
      <c r="AL47" s="364" t="n"/>
      <c r="AM47" s="364" t="n"/>
      <c r="AN47" s="364" t="n"/>
      <c r="AO47" s="414" t="inlineStr">
        <is>
          <t>M85 | Round of 32</t>
        </is>
      </c>
      <c r="AP47" s="1" t="n"/>
      <c r="AQ47" s="1" t="n"/>
      <c r="AR47" s="1" t="n"/>
      <c r="AS47" s="293" t="n"/>
      <c r="AT47" s="293" t="n"/>
      <c r="AU47" s="311">
        <f>'Tournament Map'!F46</f>
        <v/>
      </c>
      <c r="AV47" s="293" t="n"/>
      <c r="AW47" s="293" t="n"/>
      <c r="AX47" s="293" t="n"/>
      <c r="AY47" s="293" t="n"/>
      <c r="AZ47" s="293" t="n"/>
    </row>
    <row r="48" ht="18" customHeight="1" s="28">
      <c r="A48" s="415">
        <f>IF('Tournament Map'!A43="","",'Tournament Map'!A43)</f>
        <v/>
      </c>
      <c r="B48" s="1" t="n"/>
      <c r="C48" s="1" t="n"/>
      <c r="D48" s="372" t="n"/>
      <c r="E48" s="364" t="n"/>
      <c r="F48" s="364" t="n"/>
      <c r="G48" s="364" t="n"/>
      <c r="H48" s="364" t="n"/>
      <c r="I48" s="364" t="n"/>
      <c r="J48" s="364" t="n"/>
      <c r="K48" s="364" t="n"/>
      <c r="L48" s="364" t="n"/>
      <c r="M48" s="364" t="n"/>
      <c r="N48" s="364" t="n"/>
      <c r="O48" s="364" t="n"/>
      <c r="P48" s="364" t="n"/>
      <c r="Q48" s="364" t="n"/>
      <c r="R48" s="364" t="n"/>
      <c r="S48" s="364" t="n"/>
      <c r="T48" s="364" t="n"/>
      <c r="U48" s="364" t="n"/>
      <c r="V48" s="364" t="n"/>
      <c r="W48" s="364" t="n"/>
      <c r="X48" s="364" t="n"/>
      <c r="Y48" s="364" t="n"/>
      <c r="Z48" s="364" t="n"/>
      <c r="AA48" s="364" t="n"/>
      <c r="AB48" s="364" t="n"/>
      <c r="AC48" s="364" t="n"/>
      <c r="AD48" s="364" t="n"/>
      <c r="AE48" s="364" t="n"/>
      <c r="AF48" s="364" t="n"/>
      <c r="AG48" s="364" t="n"/>
      <c r="AH48" s="364" t="n"/>
      <c r="AI48" s="364" t="n"/>
      <c r="AJ48" s="364" t="n"/>
      <c r="AK48" s="364" t="n"/>
      <c r="AL48" s="364" t="n"/>
      <c r="AM48" s="364" t="n"/>
      <c r="AN48" s="364" t="n"/>
      <c r="AO48" s="415">
        <f>IF('Tournament Map'!AO43="","",'Tournament Map'!AO43)</f>
        <v/>
      </c>
      <c r="AP48" s="1" t="n"/>
      <c r="AQ48" s="1" t="n"/>
      <c r="AR48" s="372" t="n"/>
      <c r="AS48" s="293" t="n"/>
      <c r="AT48" s="293" t="n"/>
      <c r="AU48" s="311">
        <f>'Tournament Map'!F47</f>
        <v/>
      </c>
      <c r="AV48" s="293" t="n"/>
      <c r="AW48" s="293" t="n"/>
      <c r="AX48" s="293" t="n"/>
      <c r="AY48" s="293" t="n"/>
      <c r="AZ48" s="293" t="n"/>
    </row>
    <row r="49" ht="18" customHeight="1" s="28">
      <c r="A49" s="415">
        <f>IF('Tournament Map'!A44="","",'Tournament Map'!A44)</f>
        <v/>
      </c>
      <c r="B49" s="1" t="n"/>
      <c r="C49" s="1" t="n"/>
      <c r="D49" s="372" t="n"/>
      <c r="E49" s="364" t="n"/>
      <c r="F49" s="364" t="n"/>
      <c r="G49" s="364" t="n"/>
      <c r="H49" s="364" t="n"/>
      <c r="I49" s="364" t="n"/>
      <c r="J49" s="364" t="n"/>
      <c r="K49" s="364" t="n"/>
      <c r="L49" s="364" t="n"/>
      <c r="M49" s="364" t="n"/>
      <c r="N49" s="364" t="n"/>
      <c r="O49" s="364" t="n"/>
      <c r="P49" s="364" t="n"/>
      <c r="Q49" s="364" t="n"/>
      <c r="R49" s="364" t="n"/>
      <c r="S49" s="364" t="n"/>
      <c r="T49" s="364" t="n"/>
      <c r="U49" s="364" t="n"/>
      <c r="V49" s="364" t="n"/>
      <c r="W49" s="364" t="n"/>
      <c r="X49" s="364" t="n"/>
      <c r="Y49" s="364" t="n"/>
      <c r="Z49" s="364" t="n"/>
      <c r="AA49" s="364" t="n"/>
      <c r="AB49" s="364" t="n"/>
      <c r="AC49" s="364" t="n"/>
      <c r="AD49" s="364" t="n"/>
      <c r="AE49" s="364" t="n"/>
      <c r="AF49" s="364" t="n"/>
      <c r="AG49" s="364" t="n"/>
      <c r="AH49" s="364" t="n"/>
      <c r="AI49" s="364" t="n"/>
      <c r="AJ49" s="364" t="n"/>
      <c r="AK49" s="364" t="n"/>
      <c r="AL49" s="364" t="n"/>
      <c r="AM49" s="364" t="n"/>
      <c r="AN49" s="364" t="n"/>
      <c r="AO49" s="415">
        <f>IF('Tournament Map'!AO44="","",'Tournament Map'!AO44)</f>
        <v/>
      </c>
      <c r="AP49" s="1" t="n"/>
      <c r="AQ49" s="1" t="n"/>
      <c r="AR49" s="372" t="n"/>
      <c r="AS49" s="293" t="n"/>
      <c r="AT49" s="293" t="n"/>
      <c r="AU49" s="293" t="n"/>
      <c r="AV49" s="293" t="n"/>
      <c r="AW49" s="293" t="n"/>
      <c r="AX49" s="293" t="n"/>
      <c r="AY49" s="293" t="n"/>
      <c r="AZ49" s="293" t="n"/>
    </row>
    <row r="50" ht="18" customHeight="1" s="28">
      <c r="A50" s="374" t="inlineStr">
        <is>
          <t>Pick</t>
        </is>
      </c>
      <c r="B50" s="417" t="n"/>
      <c r="C50" s="1" t="n"/>
      <c r="D50" s="1" t="n"/>
      <c r="E50" s="364" t="n"/>
      <c r="F50" s="414" t="inlineStr">
        <is>
          <t>M94 | Round of 16</t>
        </is>
      </c>
      <c r="G50" s="1" t="n"/>
      <c r="H50" s="1" t="n"/>
      <c r="I50" s="1" t="n"/>
      <c r="J50" s="364" t="n"/>
      <c r="K50" s="364" t="n"/>
      <c r="L50" s="364" t="n"/>
      <c r="M50" s="364" t="n"/>
      <c r="N50" s="364" t="n"/>
      <c r="O50" s="364" t="n"/>
      <c r="P50" s="364" t="n"/>
      <c r="Q50" s="364" t="n"/>
      <c r="R50" s="364" t="n"/>
      <c r="S50" s="364" t="n"/>
      <c r="T50" s="364" t="n"/>
      <c r="U50" s="364" t="n"/>
      <c r="V50" s="364" t="n"/>
      <c r="W50" s="364" t="n"/>
      <c r="X50" s="364" t="n"/>
      <c r="Y50" s="364" t="n"/>
      <c r="Z50" s="364" t="n"/>
      <c r="AA50" s="364" t="n"/>
      <c r="AB50" s="364" t="n"/>
      <c r="AC50" s="364" t="n"/>
      <c r="AD50" s="364" t="n"/>
      <c r="AE50" s="364" t="n"/>
      <c r="AF50" s="364" t="n"/>
      <c r="AG50" s="364" t="n"/>
      <c r="AH50" s="364" t="n"/>
      <c r="AI50" s="364" t="n"/>
      <c r="AJ50" s="414" t="inlineStr">
        <is>
          <t>M96 | Round of 16</t>
        </is>
      </c>
      <c r="AK50" s="1" t="n"/>
      <c r="AL50" s="1" t="n"/>
      <c r="AM50" s="1" t="n"/>
      <c r="AN50" s="364" t="n"/>
      <c r="AO50" s="374" t="inlineStr">
        <is>
          <t>Pick</t>
        </is>
      </c>
      <c r="AP50" s="417" t="n"/>
      <c r="AQ50" s="1" t="n"/>
      <c r="AR50" s="1" t="n"/>
      <c r="AS50" s="293" t="n"/>
      <c r="AT50" s="293" t="n"/>
      <c r="AU50" s="311" t="n"/>
      <c r="AV50" s="293" t="n"/>
      <c r="AW50" s="293" t="n"/>
      <c r="AX50" s="293" t="n"/>
      <c r="AY50" s="293" t="n"/>
      <c r="AZ50" s="293" t="n"/>
    </row>
    <row r="51" ht="18" customHeight="1" s="28">
      <c r="A51" s="419">
        <f>IF('Tournament Map'!B45="","","Winner: "&amp;'Tournament Map'!B45)</f>
        <v/>
      </c>
      <c r="B51" s="1" t="n"/>
      <c r="C51" s="1" t="n"/>
      <c r="D51" s="1" t="n"/>
      <c r="E51" s="364" t="n"/>
      <c r="F51" s="415">
        <f>IF('Tournament Map'!F46="","",'Tournament Map'!F46)</f>
        <v/>
      </c>
      <c r="G51" s="1" t="n"/>
      <c r="H51" s="1" t="n"/>
      <c r="I51" s="372" t="n"/>
      <c r="J51" s="364" t="n"/>
      <c r="K51" s="364" t="n"/>
      <c r="L51" s="364" t="n"/>
      <c r="M51" s="364" t="n"/>
      <c r="N51" s="364" t="n"/>
      <c r="O51" s="364" t="n"/>
      <c r="P51" s="364" t="n"/>
      <c r="Q51" s="364" t="n"/>
      <c r="R51" s="364" t="n"/>
      <c r="S51" s="364" t="n"/>
      <c r="T51" s="364" t="n"/>
      <c r="U51" s="364" t="n"/>
      <c r="V51" s="364" t="n"/>
      <c r="W51" s="364" t="n"/>
      <c r="X51" s="364" t="n"/>
      <c r="Y51" s="364" t="n"/>
      <c r="Z51" s="364" t="n"/>
      <c r="AA51" s="364" t="n"/>
      <c r="AB51" s="364" t="n"/>
      <c r="AC51" s="364" t="n"/>
      <c r="AD51" s="364" t="n"/>
      <c r="AE51" s="364" t="n"/>
      <c r="AF51" s="364" t="n"/>
      <c r="AG51" s="364" t="n"/>
      <c r="AH51" s="364" t="n"/>
      <c r="AI51" s="364" t="n"/>
      <c r="AJ51" s="415">
        <f>IF('Tournament Map'!AJ46="","",'Tournament Map'!AJ46)</f>
        <v/>
      </c>
      <c r="AK51" s="1" t="n"/>
      <c r="AL51" s="1" t="n"/>
      <c r="AM51" s="372" t="n"/>
      <c r="AN51" s="364" t="n"/>
      <c r="AO51" s="419">
        <f>IF('Tournament Map'!AP45="","","Winner: "&amp;'Tournament Map'!AP45)</f>
        <v/>
      </c>
      <c r="AP51" s="1" t="n"/>
      <c r="AQ51" s="1" t="n"/>
      <c r="AR51" s="1" t="n"/>
      <c r="AS51" s="293" t="n"/>
      <c r="AT51" s="293" t="n"/>
      <c r="AU51" s="311">
        <f>'Tournament Map'!K16</f>
        <v/>
      </c>
      <c r="AV51" s="293" t="n"/>
      <c r="AW51" s="293" t="n"/>
      <c r="AX51" s="293" t="n"/>
      <c r="AY51" s="293" t="n"/>
      <c r="AZ51" s="293" t="n"/>
    </row>
    <row r="52" ht="18" customHeight="1" s="28">
      <c r="A52" s="364" t="n"/>
      <c r="B52" s="364" t="n"/>
      <c r="C52" s="364" t="n"/>
      <c r="D52" s="364" t="n"/>
      <c r="E52" s="364" t="n"/>
      <c r="F52" s="415">
        <f>IF('Tournament Map'!F47="","",'Tournament Map'!F47)</f>
        <v/>
      </c>
      <c r="G52" s="1" t="n"/>
      <c r="H52" s="1" t="n"/>
      <c r="I52" s="372" t="n"/>
      <c r="J52" s="364" t="n"/>
      <c r="K52" s="364" t="n"/>
      <c r="L52" s="364" t="n"/>
      <c r="M52" s="364" t="n"/>
      <c r="N52" s="364" t="n"/>
      <c r="O52" s="364" t="n"/>
      <c r="P52" s="364" t="n"/>
      <c r="Q52" s="364" t="n"/>
      <c r="R52" s="364" t="n"/>
      <c r="S52" s="364" t="n"/>
      <c r="T52" s="364" t="n"/>
      <c r="U52" s="364" t="n"/>
      <c r="V52" s="364" t="n"/>
      <c r="W52" s="364" t="n"/>
      <c r="X52" s="364" t="n"/>
      <c r="Y52" s="364" t="n"/>
      <c r="Z52" s="364" t="n"/>
      <c r="AA52" s="364" t="n"/>
      <c r="AB52" s="364" t="n"/>
      <c r="AC52" s="364" t="n"/>
      <c r="AD52" s="364" t="n"/>
      <c r="AE52" s="364" t="n"/>
      <c r="AF52" s="364" t="n"/>
      <c r="AG52" s="364" t="n"/>
      <c r="AH52" s="364" t="n"/>
      <c r="AI52" s="364" t="n"/>
      <c r="AJ52" s="415">
        <f>IF('Tournament Map'!AJ47="","",'Tournament Map'!AJ47)</f>
        <v/>
      </c>
      <c r="AK52" s="1" t="n"/>
      <c r="AL52" s="1" t="n"/>
      <c r="AM52" s="372" t="n"/>
      <c r="AN52" s="364" t="n"/>
      <c r="AO52" s="364" t="n"/>
      <c r="AP52" s="364" t="n"/>
      <c r="AQ52" s="364" t="n"/>
      <c r="AR52" s="364" t="n"/>
      <c r="AS52" s="293" t="n"/>
      <c r="AT52" s="293" t="n"/>
      <c r="AU52" s="311">
        <f>'Tournament Map'!K17</f>
        <v/>
      </c>
      <c r="AV52" s="293" t="n"/>
      <c r="AW52" s="293" t="n"/>
      <c r="AX52" s="293" t="n"/>
      <c r="AY52" s="293" t="n"/>
      <c r="AZ52" s="293" t="n"/>
    </row>
    <row r="53" ht="18" customHeight="1" s="28">
      <c r="A53" s="364" t="n"/>
      <c r="B53" s="364" t="n"/>
      <c r="C53" s="364" t="n"/>
      <c r="D53" s="364" t="n"/>
      <c r="E53" s="364" t="n"/>
      <c r="F53" s="374" t="inlineStr">
        <is>
          <t>Pick</t>
        </is>
      </c>
      <c r="G53" s="417" t="n"/>
      <c r="H53" s="1" t="n"/>
      <c r="I53" s="1" t="n"/>
      <c r="J53" s="364" t="n"/>
      <c r="K53" s="364" t="n"/>
      <c r="L53" s="364" t="n"/>
      <c r="M53" s="364" t="n"/>
      <c r="N53" s="364" t="n"/>
      <c r="O53" s="364" t="n"/>
      <c r="P53" s="364" t="n"/>
      <c r="Q53" s="364" t="n"/>
      <c r="R53" s="364" t="n"/>
      <c r="S53" s="364" t="n"/>
      <c r="T53" s="364" t="n"/>
      <c r="U53" s="364" t="n"/>
      <c r="V53" s="364" t="n"/>
      <c r="W53" s="364" t="n"/>
      <c r="X53" s="364" t="n"/>
      <c r="Y53" s="364" t="n"/>
      <c r="Z53" s="364" t="n"/>
      <c r="AA53" s="364" t="n"/>
      <c r="AB53" s="364" t="n"/>
      <c r="AC53" s="364" t="n"/>
      <c r="AD53" s="364" t="n"/>
      <c r="AE53" s="364" t="n"/>
      <c r="AF53" s="364" t="n"/>
      <c r="AG53" s="364" t="n"/>
      <c r="AH53" s="364" t="n"/>
      <c r="AI53" s="364" t="n"/>
      <c r="AJ53" s="374" t="inlineStr">
        <is>
          <t>Pick</t>
        </is>
      </c>
      <c r="AK53" s="417" t="n"/>
      <c r="AL53" s="1" t="n"/>
      <c r="AM53" s="1" t="n"/>
      <c r="AN53" s="364" t="n"/>
      <c r="AO53" s="364" t="n"/>
      <c r="AP53" s="364" t="n"/>
      <c r="AQ53" s="364" t="n"/>
      <c r="AR53" s="364" t="n"/>
      <c r="AS53" s="293" t="n"/>
      <c r="AT53" s="293" t="n"/>
      <c r="AU53" s="293" t="n"/>
      <c r="AV53" s="293" t="n"/>
      <c r="AW53" s="293" t="n"/>
      <c r="AX53" s="293" t="n"/>
      <c r="AY53" s="293" t="n"/>
      <c r="AZ53" s="293" t="n"/>
    </row>
    <row r="54" ht="18" customHeight="1" s="28">
      <c r="A54" s="414" t="inlineStr">
        <is>
          <t>M82 | Round of 32</t>
        </is>
      </c>
      <c r="B54" s="1" t="n"/>
      <c r="C54" s="1" t="n"/>
      <c r="D54" s="1" t="n"/>
      <c r="E54" s="364" t="n"/>
      <c r="F54" s="419">
        <f>IF('Tournament Map'!G48="","","Winner: "&amp;'Tournament Map'!G48)</f>
        <v/>
      </c>
      <c r="G54" s="1" t="n"/>
      <c r="H54" s="1" t="n"/>
      <c r="I54" s="1" t="n"/>
      <c r="J54" s="364" t="n"/>
      <c r="K54" s="364" t="n"/>
      <c r="L54" s="364" t="n"/>
      <c r="M54" s="364" t="n"/>
      <c r="N54" s="364" t="n"/>
      <c r="O54" s="364" t="n"/>
      <c r="P54" s="364" t="n"/>
      <c r="Q54" s="364" t="n"/>
      <c r="R54" s="364" t="n"/>
      <c r="S54" s="364" t="n"/>
      <c r="T54" s="364" t="n"/>
      <c r="U54" s="364" t="n"/>
      <c r="V54" s="364" t="n"/>
      <c r="W54" s="364" t="n"/>
      <c r="X54" s="364" t="n"/>
      <c r="Y54" s="364" t="n"/>
      <c r="Z54" s="364" t="n"/>
      <c r="AA54" s="364" t="n"/>
      <c r="AB54" s="364" t="n"/>
      <c r="AC54" s="364" t="n"/>
      <c r="AD54" s="364" t="n"/>
      <c r="AE54" s="364" t="n"/>
      <c r="AF54" s="364" t="n"/>
      <c r="AG54" s="364" t="n"/>
      <c r="AH54" s="364" t="n"/>
      <c r="AI54" s="364" t="n"/>
      <c r="AJ54" s="419">
        <f>IF('Tournament Map'!AK48="","","Winner: "&amp;'Tournament Map'!AK48)</f>
        <v/>
      </c>
      <c r="AK54" s="1" t="n"/>
      <c r="AL54" s="1" t="n"/>
      <c r="AM54" s="1" t="n"/>
      <c r="AN54" s="364" t="n"/>
      <c r="AO54" s="414" t="inlineStr">
        <is>
          <t>M87 | Round of 32</t>
        </is>
      </c>
      <c r="AP54" s="1" t="n"/>
      <c r="AQ54" s="1" t="n"/>
      <c r="AR54" s="1" t="n"/>
      <c r="AS54" s="293" t="n"/>
      <c r="AT54" s="293" t="n"/>
      <c r="AU54" s="311" t="n"/>
      <c r="AV54" s="293" t="n"/>
      <c r="AW54" s="293" t="n"/>
      <c r="AX54" s="293" t="n"/>
      <c r="AY54" s="293" t="n"/>
      <c r="AZ54" s="293" t="n"/>
    </row>
    <row r="55" ht="18" customHeight="1" s="28">
      <c r="A55" s="415">
        <f>IF('Tournament Map'!A49="","",'Tournament Map'!A49)</f>
        <v/>
      </c>
      <c r="B55" s="1" t="n"/>
      <c r="C55" s="1" t="n"/>
      <c r="D55" s="372" t="n"/>
      <c r="E55" s="364" t="n"/>
      <c r="F55" s="364" t="n"/>
      <c r="G55" s="364" t="n"/>
      <c r="H55" s="364" t="n"/>
      <c r="I55" s="364" t="n"/>
      <c r="J55" s="364" t="n"/>
      <c r="K55" s="364" t="n"/>
      <c r="L55" s="364" t="n"/>
      <c r="M55" s="364" t="n"/>
      <c r="N55" s="364" t="n"/>
      <c r="O55" s="364" t="n"/>
      <c r="P55" s="364" t="n"/>
      <c r="Q55" s="364" t="n"/>
      <c r="R55" s="364" t="n"/>
      <c r="S55" s="364" t="n"/>
      <c r="T55" s="364" t="n"/>
      <c r="U55" s="364" t="n"/>
      <c r="V55" s="364" t="n"/>
      <c r="W55" s="364" t="n"/>
      <c r="X55" s="364" t="n"/>
      <c r="Y55" s="364" t="n"/>
      <c r="Z55" s="364" t="n"/>
      <c r="AA55" s="364" t="n"/>
      <c r="AB55" s="364" t="n"/>
      <c r="AC55" s="364" t="n"/>
      <c r="AD55" s="364" t="n"/>
      <c r="AE55" s="364" t="n"/>
      <c r="AF55" s="364" t="n"/>
      <c r="AG55" s="364" t="n"/>
      <c r="AH55" s="364" t="n"/>
      <c r="AI55" s="364" t="n"/>
      <c r="AJ55" s="364" t="n"/>
      <c r="AK55" s="364" t="n"/>
      <c r="AL55" s="364" t="n"/>
      <c r="AM55" s="364" t="n"/>
      <c r="AN55" s="364" t="n"/>
      <c r="AO55" s="415">
        <f>IF('Tournament Map'!AO49="","",'Tournament Map'!AO49)</f>
        <v/>
      </c>
      <c r="AP55" s="1" t="n"/>
      <c r="AQ55" s="1" t="n"/>
      <c r="AR55" s="372" t="n"/>
      <c r="AS55" s="293" t="n"/>
      <c r="AT55" s="293" t="n"/>
      <c r="AU55" s="311">
        <f>'Tournament Map'!K40</f>
        <v/>
      </c>
      <c r="AV55" s="293" t="n"/>
      <c r="AW55" s="293" t="n"/>
      <c r="AX55" s="293" t="n"/>
      <c r="AY55" s="293" t="n"/>
      <c r="AZ55" s="293" t="n"/>
    </row>
    <row r="56" ht="18" customHeight="1" s="28">
      <c r="A56" s="415">
        <f>IF('Tournament Map'!A50="","",'Tournament Map'!A50)</f>
        <v/>
      </c>
      <c r="B56" s="1" t="n"/>
      <c r="C56" s="1" t="n"/>
      <c r="D56" s="372" t="n"/>
      <c r="E56" s="364" t="n"/>
      <c r="F56" s="364" t="n"/>
      <c r="G56" s="364" t="n"/>
      <c r="H56" s="364" t="n"/>
      <c r="I56" s="364" t="n"/>
      <c r="J56" s="364" t="n"/>
      <c r="K56" s="364" t="n"/>
      <c r="L56" s="364" t="n"/>
      <c r="M56" s="364" t="n"/>
      <c r="N56" s="364" t="n"/>
      <c r="O56" s="364" t="n"/>
      <c r="P56" s="364" t="n"/>
      <c r="Q56" s="364" t="n"/>
      <c r="R56" s="364" t="n"/>
      <c r="S56" s="364" t="n"/>
      <c r="T56" s="364" t="n"/>
      <c r="U56" s="364" t="n"/>
      <c r="V56" s="364" t="n"/>
      <c r="W56" s="364" t="n"/>
      <c r="X56" s="364" t="n"/>
      <c r="Y56" s="364" t="n"/>
      <c r="Z56" s="364" t="n"/>
      <c r="AA56" s="364" t="n"/>
      <c r="AB56" s="364" t="n"/>
      <c r="AC56" s="364" t="n"/>
      <c r="AD56" s="364" t="n"/>
      <c r="AE56" s="364" t="n"/>
      <c r="AF56" s="364" t="n"/>
      <c r="AG56" s="364" t="n"/>
      <c r="AH56" s="364" t="n"/>
      <c r="AI56" s="364" t="n"/>
      <c r="AJ56" s="364" t="n"/>
      <c r="AK56" s="364" t="n"/>
      <c r="AL56" s="364" t="n"/>
      <c r="AM56" s="364" t="n"/>
      <c r="AN56" s="364" t="n"/>
      <c r="AO56" s="415">
        <f>IF('Tournament Map'!AO50="","",'Tournament Map'!AO50)</f>
        <v/>
      </c>
      <c r="AP56" s="1" t="n"/>
      <c r="AQ56" s="1" t="n"/>
      <c r="AR56" s="372" t="n"/>
      <c r="AS56" s="293" t="n"/>
      <c r="AT56" s="293" t="n"/>
      <c r="AU56" s="311">
        <f>'Tournament Map'!K41</f>
        <v/>
      </c>
      <c r="AV56" s="293" t="n"/>
      <c r="AW56" s="293" t="n"/>
      <c r="AX56" s="293" t="n"/>
      <c r="AY56" s="293" t="n"/>
      <c r="AZ56" s="293" t="n"/>
    </row>
    <row r="57" ht="18" customHeight="1" s="28">
      <c r="A57" s="374" t="inlineStr">
        <is>
          <t>Pick</t>
        </is>
      </c>
      <c r="B57" s="417" t="n"/>
      <c r="C57" s="1" t="n"/>
      <c r="D57" s="1" t="n"/>
      <c r="E57" s="364" t="n"/>
      <c r="F57" s="364" t="n"/>
      <c r="G57" s="364" t="n"/>
      <c r="H57" s="364" t="n"/>
      <c r="I57" s="364" t="n"/>
      <c r="J57" s="364" t="n"/>
      <c r="K57" s="364" t="n"/>
      <c r="L57" s="364" t="n"/>
      <c r="M57" s="364" t="n"/>
      <c r="N57" s="364" t="n"/>
      <c r="O57" s="364" t="n"/>
      <c r="P57" s="364" t="n"/>
      <c r="Q57" s="364" t="n"/>
      <c r="R57" s="364" t="n"/>
      <c r="S57" s="364" t="n"/>
      <c r="T57" s="364" t="n"/>
      <c r="U57" s="364" t="n"/>
      <c r="V57" s="364" t="n"/>
      <c r="W57" s="364" t="n"/>
      <c r="X57" s="364" t="n"/>
      <c r="Y57" s="364" t="n"/>
      <c r="Z57" s="364" t="n"/>
      <c r="AA57" s="364" t="n"/>
      <c r="AB57" s="364" t="n"/>
      <c r="AC57" s="364" t="n"/>
      <c r="AD57" s="364" t="n"/>
      <c r="AE57" s="364" t="n"/>
      <c r="AF57" s="364" t="n"/>
      <c r="AG57" s="364" t="n"/>
      <c r="AH57" s="364" t="n"/>
      <c r="AI57" s="364" t="n"/>
      <c r="AJ57" s="364" t="n"/>
      <c r="AK57" s="364" t="n"/>
      <c r="AL57" s="364" t="n"/>
      <c r="AM57" s="364" t="n"/>
      <c r="AN57" s="364" t="n"/>
      <c r="AO57" s="374" t="inlineStr">
        <is>
          <t>Pick</t>
        </is>
      </c>
      <c r="AP57" s="417" t="n"/>
      <c r="AQ57" s="1" t="n"/>
      <c r="AR57" s="1" t="n"/>
      <c r="AS57" s="293" t="n"/>
      <c r="AT57" s="293" t="n"/>
      <c r="AU57" s="293" t="n"/>
      <c r="AV57" s="293" t="n"/>
      <c r="AW57" s="293" t="n"/>
      <c r="AX57" s="293" t="n"/>
      <c r="AY57" s="293" t="n"/>
      <c r="AZ57" s="293" t="n"/>
    </row>
    <row r="58" ht="18" customHeight="1" s="28">
      <c r="A58" s="419">
        <f>IF('Tournament Map'!B51="","","Winner: "&amp;'Tournament Map'!B51)</f>
        <v/>
      </c>
      <c r="B58" s="1" t="n"/>
      <c r="C58" s="1" t="n"/>
      <c r="D58" s="1" t="n"/>
      <c r="E58" s="364" t="n"/>
      <c r="F58" s="364" t="n"/>
      <c r="G58" s="364" t="n"/>
      <c r="H58" s="364" t="n"/>
      <c r="I58" s="364" t="n"/>
      <c r="J58" s="364" t="n"/>
      <c r="K58" s="364" t="n"/>
      <c r="L58" s="364" t="n"/>
      <c r="M58" s="364" t="n"/>
      <c r="N58" s="364" t="n"/>
      <c r="O58" s="364" t="n"/>
      <c r="P58" s="364" t="n"/>
      <c r="Q58" s="364" t="n"/>
      <c r="R58" s="364" t="n"/>
      <c r="S58" s="364" t="n"/>
      <c r="T58" s="364" t="n"/>
      <c r="U58" s="364" t="n"/>
      <c r="V58" s="364" t="n"/>
      <c r="W58" s="364" t="n"/>
      <c r="X58" s="364" t="n"/>
      <c r="Y58" s="364" t="n"/>
      <c r="Z58" s="364" t="n"/>
      <c r="AA58" s="364" t="n"/>
      <c r="AB58" s="364" t="n"/>
      <c r="AC58" s="364" t="n"/>
      <c r="AD58" s="364" t="n"/>
      <c r="AE58" s="364" t="n"/>
      <c r="AF58" s="364" t="n"/>
      <c r="AG58" s="364" t="n"/>
      <c r="AH58" s="364" t="n"/>
      <c r="AI58" s="364" t="n"/>
      <c r="AJ58" s="364" t="n"/>
      <c r="AK58" s="364" t="n"/>
      <c r="AL58" s="364" t="n"/>
      <c r="AM58" s="364" t="n"/>
      <c r="AN58" s="364" t="n"/>
      <c r="AO58" s="419">
        <f>IF('Tournament Map'!AP51="","","Winner: "&amp;'Tournament Map'!AP51)</f>
        <v/>
      </c>
      <c r="AP58" s="1" t="n"/>
      <c r="AQ58" s="1" t="n"/>
      <c r="AR58" s="1" t="n"/>
      <c r="AS58" s="293" t="n"/>
      <c r="AT58" s="293" t="n"/>
      <c r="AU58" s="311" t="n"/>
      <c r="AV58" s="293" t="n"/>
      <c r="AW58" s="293" t="n"/>
      <c r="AX58" s="293" t="n"/>
      <c r="AY58" s="293" t="n"/>
      <c r="AZ58" s="293" t="n"/>
    </row>
    <row r="59" ht="18" customHeight="1" s="28">
      <c r="A59" s="293" t="n"/>
      <c r="B59" s="293" t="n"/>
      <c r="C59" s="293" t="n"/>
      <c r="D59" s="293" t="n"/>
      <c r="E59" s="293" t="n"/>
      <c r="F59" s="293" t="n"/>
      <c r="G59" s="293" t="n"/>
      <c r="H59" s="293" t="n"/>
      <c r="I59" s="293" t="n"/>
      <c r="J59" s="293" t="n"/>
      <c r="K59" s="293" t="n"/>
      <c r="L59" s="293" t="n"/>
      <c r="M59" s="293" t="n"/>
      <c r="N59" s="293" t="n"/>
      <c r="O59" s="293" t="n"/>
      <c r="P59" s="293" t="n"/>
      <c r="Q59" s="293" t="n"/>
      <c r="R59" s="293" t="n"/>
      <c r="S59" s="293" t="n"/>
      <c r="T59" s="293" t="n"/>
      <c r="U59" s="293" t="n"/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  <c r="AM59" s="293" t="n"/>
      <c r="AN59" s="293" t="n"/>
      <c r="AO59" s="293" t="n"/>
      <c r="AP59" s="293" t="n"/>
      <c r="AQ59" s="293" t="n"/>
      <c r="AR59" s="293" t="n"/>
      <c r="AS59" s="293" t="n"/>
      <c r="AT59" s="293" t="n"/>
      <c r="AU59" s="311">
        <f>'Tournament Map'!P28</f>
        <v/>
      </c>
      <c r="AV59" s="293" t="n"/>
      <c r="AW59" s="293" t="n"/>
      <c r="AX59" s="293" t="n"/>
      <c r="AY59" s="293" t="n"/>
      <c r="AZ59" s="293" t="n"/>
    </row>
    <row r="60" ht="18" customHeight="1" s="28">
      <c r="A60" s="293" t="n"/>
      <c r="B60" s="293" t="n"/>
      <c r="C60" s="293" t="n"/>
      <c r="D60" s="293" t="n"/>
      <c r="E60" s="293" t="n"/>
      <c r="F60" s="293" t="n"/>
      <c r="G60" s="293" t="n"/>
      <c r="H60" s="293" t="n"/>
      <c r="I60" s="293" t="n"/>
      <c r="J60" s="293" t="n"/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I60" s="293" t="n"/>
      <c r="AJ60" s="293" t="n"/>
      <c r="AK60" s="293" t="n"/>
      <c r="AL60" s="293" t="n"/>
      <c r="AM60" s="293" t="n"/>
      <c r="AN60" s="293" t="n"/>
      <c r="AO60" s="293" t="n"/>
      <c r="AP60" s="293" t="n"/>
      <c r="AQ60" s="293" t="n"/>
      <c r="AR60" s="293" t="n"/>
      <c r="AS60" s="293" t="n"/>
      <c r="AT60" s="293" t="n"/>
      <c r="AU60" s="311">
        <f>'Tournament Map'!P29</f>
        <v/>
      </c>
      <c r="AV60" s="293" t="n"/>
      <c r="AW60" s="293" t="n"/>
      <c r="AX60" s="293" t="n"/>
      <c r="AY60" s="293" t="n"/>
      <c r="AZ60" s="293" t="n"/>
    </row>
    <row r="61" ht="18" customHeight="1" s="28">
      <c r="A61" s="293" t="n"/>
      <c r="B61" s="293" t="n"/>
      <c r="C61" s="293" t="n"/>
      <c r="D61" s="293" t="n"/>
      <c r="E61" s="293" t="n"/>
      <c r="F61" s="293" t="n"/>
      <c r="G61" s="293" t="n"/>
      <c r="H61" s="293" t="n"/>
      <c r="I61" s="293" t="n"/>
      <c r="J61" s="293" t="n"/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I61" s="293" t="n"/>
      <c r="AJ61" s="293" t="n"/>
      <c r="AK61" s="293" t="n"/>
      <c r="AL61" s="293" t="n"/>
      <c r="AM61" s="293" t="n"/>
      <c r="AN61" s="293" t="n"/>
      <c r="AO61" s="293" t="n"/>
      <c r="AP61" s="293" t="n"/>
      <c r="AQ61" s="293" t="n"/>
      <c r="AR61" s="293" t="n"/>
      <c r="AS61" s="293" t="n"/>
      <c r="AT61" s="293" t="n"/>
      <c r="AU61" s="293" t="n"/>
      <c r="AV61" s="293" t="n"/>
      <c r="AW61" s="293" t="n"/>
      <c r="AX61" s="293" t="n"/>
      <c r="AY61" s="293" t="n"/>
      <c r="AZ61" s="293" t="n"/>
    </row>
    <row r="62" ht="18" customHeight="1" s="28">
      <c r="A62" s="293" t="n"/>
      <c r="B62" s="293" t="n"/>
      <c r="C62" s="293" t="n"/>
      <c r="D62" s="293" t="n"/>
      <c r="E62" s="293" t="n"/>
      <c r="F62" s="293" t="n"/>
      <c r="G62" s="293" t="n"/>
      <c r="H62" s="293" t="n"/>
      <c r="I62" s="293" t="n"/>
      <c r="J62" s="293" t="n"/>
      <c r="K62" s="293" t="n"/>
      <c r="L62" s="293" t="n"/>
      <c r="M62" s="293" t="n"/>
      <c r="N62" s="293" t="n"/>
      <c r="O62" s="293" t="n"/>
      <c r="P62" s="293" t="n"/>
      <c r="Q62" s="293" t="n"/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I62" s="293" t="n"/>
      <c r="AJ62" s="293" t="n"/>
      <c r="AK62" s="293" t="n"/>
      <c r="AL62" s="293" t="n"/>
      <c r="AM62" s="293" t="n"/>
      <c r="AN62" s="293" t="n"/>
      <c r="AO62" s="293" t="n"/>
      <c r="AP62" s="293" t="n"/>
      <c r="AQ62" s="293" t="n"/>
      <c r="AR62" s="293" t="n"/>
      <c r="AS62" s="293" t="n"/>
      <c r="AT62" s="293" t="n"/>
      <c r="AU62" s="311" t="n"/>
      <c r="AV62" s="293" t="n"/>
      <c r="AW62" s="293" t="n"/>
      <c r="AX62" s="293" t="n"/>
      <c r="AY62" s="293" t="n"/>
      <c r="AZ62" s="293" t="n"/>
    </row>
    <row r="63" ht="18" customHeight="1" s="28">
      <c r="A63" s="293" t="n"/>
      <c r="B63" s="293" t="n"/>
      <c r="C63" s="293" t="n"/>
      <c r="D63" s="293" t="n"/>
      <c r="E63" s="293" t="n"/>
      <c r="F63" s="293" t="n"/>
      <c r="G63" s="293" t="n"/>
      <c r="H63" s="293" t="n"/>
      <c r="I63" s="293" t="n"/>
      <c r="J63" s="293" t="n"/>
      <c r="K63" s="293" t="n"/>
      <c r="L63" s="293" t="n"/>
      <c r="M63" s="293" t="n"/>
      <c r="N63" s="293" t="n"/>
      <c r="O63" s="293" t="n"/>
      <c r="P63" s="293" t="n"/>
      <c r="Q63" s="293" t="n"/>
      <c r="R63" s="293" t="n"/>
      <c r="S63" s="293" t="n"/>
      <c r="T63" s="293" t="n"/>
      <c r="U63" s="293" t="n"/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  <c r="AM63" s="293" t="n"/>
      <c r="AN63" s="293" t="n"/>
      <c r="AO63" s="293" t="n"/>
      <c r="AP63" s="293" t="n"/>
      <c r="AQ63" s="293" t="n"/>
      <c r="AR63" s="293" t="n"/>
      <c r="AS63" s="293" t="n"/>
      <c r="AT63" s="293" t="n"/>
      <c r="AU63" s="311">
        <f>'Tournament Map'!U28</f>
        <v/>
      </c>
      <c r="AV63" s="293" t="n"/>
      <c r="AW63" s="293" t="n"/>
      <c r="AX63" s="293" t="n"/>
      <c r="AY63" s="293" t="n"/>
      <c r="AZ63" s="293" t="n"/>
    </row>
    <row r="64" ht="18" customHeight="1" s="28">
      <c r="A64" s="293" t="n"/>
      <c r="B64" s="293" t="n"/>
      <c r="C64" s="293" t="n"/>
      <c r="D64" s="293" t="n"/>
      <c r="E64" s="293" t="n"/>
      <c r="F64" s="293" t="n"/>
      <c r="G64" s="293" t="n"/>
      <c r="H64" s="293" t="n"/>
      <c r="I64" s="293" t="n"/>
      <c r="J64" s="293" t="n"/>
      <c r="K64" s="293" t="n"/>
      <c r="L64" s="293" t="n"/>
      <c r="M64" s="293" t="n"/>
      <c r="N64" s="293" t="n"/>
      <c r="O64" s="293" t="n"/>
      <c r="P64" s="293" t="n"/>
      <c r="Q64" s="293" t="n"/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  <c r="AM64" s="293" t="n"/>
      <c r="AN64" s="293" t="n"/>
      <c r="AO64" s="293" t="n"/>
      <c r="AP64" s="293" t="n"/>
      <c r="AQ64" s="293" t="n"/>
      <c r="AR64" s="293" t="n"/>
      <c r="AS64" s="293" t="n"/>
      <c r="AT64" s="293" t="n"/>
      <c r="AU64" s="311">
        <f>'Tournament Map'!U29</f>
        <v/>
      </c>
      <c r="AV64" s="293" t="n"/>
      <c r="AW64" s="293" t="n"/>
      <c r="AX64" s="293" t="n"/>
      <c r="AY64" s="293" t="n"/>
      <c r="AZ64" s="293" t="n"/>
    </row>
    <row r="65" ht="18" customHeight="1" s="28">
      <c r="A65" s="293" t="n"/>
      <c r="B65" s="293" t="n"/>
      <c r="C65" s="293" t="n"/>
      <c r="D65" s="293" t="n"/>
      <c r="E65" s="293" t="n"/>
      <c r="F65" s="293" t="n"/>
      <c r="G65" s="293" t="n"/>
      <c r="H65" s="293" t="n"/>
      <c r="I65" s="293" t="n"/>
      <c r="J65" s="293" t="n"/>
      <c r="K65" s="293" t="n"/>
      <c r="L65" s="293" t="n"/>
      <c r="M65" s="293" t="n"/>
      <c r="N65" s="293" t="n"/>
      <c r="O65" s="293" t="n"/>
      <c r="P65" s="293" t="n"/>
      <c r="Q65" s="293" t="n"/>
      <c r="R65" s="293" t="n"/>
      <c r="S65" s="293" t="n"/>
      <c r="T65" s="293" t="n"/>
      <c r="U65" s="293" t="n"/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  <c r="AM65" s="293" t="n"/>
      <c r="AN65" s="293" t="n"/>
      <c r="AO65" s="293" t="n"/>
      <c r="AP65" s="293" t="n"/>
      <c r="AQ65" s="293" t="n"/>
      <c r="AR65" s="293" t="n"/>
      <c r="AS65" s="293" t="n"/>
      <c r="AT65" s="293" t="n"/>
      <c r="AU65" s="293" t="n"/>
      <c r="AV65" s="293" t="n"/>
      <c r="AW65" s="293" t="n"/>
      <c r="AX65" s="293" t="n"/>
      <c r="AY65" s="293" t="n"/>
      <c r="AZ65" s="293" t="n"/>
    </row>
    <row r="66" ht="18" customHeight="1" s="28">
      <c r="A66" s="293" t="n"/>
      <c r="B66" s="293" t="n"/>
      <c r="C66" s="293" t="n"/>
      <c r="D66" s="293" t="n"/>
      <c r="E66" s="293" t="n"/>
      <c r="F66" s="293" t="n"/>
      <c r="G66" s="293" t="n"/>
      <c r="H66" s="293" t="n"/>
      <c r="I66" s="293" t="n"/>
      <c r="J66" s="293" t="n"/>
      <c r="K66" s="293" t="n"/>
      <c r="L66" s="293" t="n"/>
      <c r="M66" s="293" t="n"/>
      <c r="N66" s="293" t="n"/>
      <c r="O66" s="293" t="n"/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  <c r="AM66" s="293" t="n"/>
      <c r="AN66" s="293" t="n"/>
      <c r="AO66" s="293" t="n"/>
      <c r="AP66" s="293" t="n"/>
      <c r="AQ66" s="293" t="n"/>
      <c r="AR66" s="293" t="n"/>
      <c r="AS66" s="293" t="n"/>
      <c r="AT66" s="293" t="n"/>
      <c r="AU66" s="311" t="n"/>
      <c r="AV66" s="293" t="n"/>
      <c r="AW66" s="293" t="n"/>
      <c r="AX66" s="293" t="n"/>
      <c r="AY66" s="293" t="n"/>
      <c r="AZ66" s="293" t="n"/>
    </row>
    <row r="67" ht="18" customHeight="1" s="28">
      <c r="A67" s="293" t="n"/>
      <c r="B67" s="293" t="n"/>
      <c r="C67" s="293" t="n"/>
      <c r="D67" s="293" t="n"/>
      <c r="E67" s="293" t="n"/>
      <c r="F67" s="293" t="n"/>
      <c r="G67" s="293" t="n"/>
      <c r="H67" s="293" t="n"/>
      <c r="I67" s="293" t="n"/>
      <c r="J67" s="293" t="n"/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  <c r="AM67" s="293" t="n"/>
      <c r="AN67" s="293" t="n"/>
      <c r="AO67" s="293" t="n"/>
      <c r="AP67" s="293" t="n"/>
      <c r="AQ67" s="293" t="n"/>
      <c r="AR67" s="293" t="n"/>
      <c r="AS67" s="293" t="n"/>
      <c r="AT67" s="293" t="n"/>
      <c r="AU67" s="311">
        <f>'Tournament Map'!U39</f>
        <v/>
      </c>
      <c r="AV67" s="293" t="n"/>
      <c r="AW67" s="293" t="n"/>
      <c r="AX67" s="293" t="n"/>
      <c r="AY67" s="293" t="n"/>
      <c r="AZ67" s="293" t="n"/>
    </row>
    <row r="68" ht="18" customHeight="1" s="28">
      <c r="A68" s="293" t="n"/>
      <c r="B68" s="293" t="n"/>
      <c r="C68" s="293" t="n"/>
      <c r="D68" s="293" t="n"/>
      <c r="E68" s="293" t="n"/>
      <c r="F68" s="293" t="n"/>
      <c r="G68" s="293" t="n"/>
      <c r="H68" s="293" t="n"/>
      <c r="I68" s="293" t="n"/>
      <c r="J68" s="293" t="n"/>
      <c r="K68" s="293" t="n"/>
      <c r="L68" s="293" t="n"/>
      <c r="M68" s="293" t="n"/>
      <c r="N68" s="293" t="n"/>
      <c r="O68" s="293" t="n"/>
      <c r="P68" s="293" t="n"/>
      <c r="Q68" s="293" t="n"/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I68" s="293" t="n"/>
      <c r="AJ68" s="293" t="n"/>
      <c r="AK68" s="293" t="n"/>
      <c r="AL68" s="293" t="n"/>
      <c r="AM68" s="293" t="n"/>
      <c r="AN68" s="293" t="n"/>
      <c r="AO68" s="293" t="n"/>
      <c r="AP68" s="293" t="n"/>
      <c r="AQ68" s="293" t="n"/>
      <c r="AR68" s="293" t="n"/>
      <c r="AS68" s="293" t="n"/>
      <c r="AT68" s="293" t="n"/>
      <c r="AU68" s="311">
        <f>'Tournament Map'!U40</f>
        <v/>
      </c>
      <c r="AV68" s="293" t="n"/>
      <c r="AW68" s="293" t="n"/>
      <c r="AX68" s="293" t="n"/>
      <c r="AY68" s="293" t="n"/>
      <c r="AZ68" s="293" t="n"/>
    </row>
    <row r="69" ht="18" customHeight="1" s="28">
      <c r="A69" s="293" t="n"/>
      <c r="B69" s="293" t="n"/>
      <c r="C69" s="293" t="n"/>
      <c r="D69" s="293" t="n"/>
      <c r="E69" s="293" t="n"/>
      <c r="F69" s="293" t="n"/>
      <c r="G69" s="293" t="n"/>
      <c r="H69" s="293" t="n"/>
      <c r="I69" s="293" t="n"/>
      <c r="J69" s="293" t="n"/>
      <c r="K69" s="293" t="n"/>
      <c r="L69" s="293" t="n"/>
      <c r="M69" s="293" t="n"/>
      <c r="N69" s="293" t="n"/>
      <c r="O69" s="293" t="n"/>
      <c r="P69" s="293" t="n"/>
      <c r="Q69" s="293" t="n"/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I69" s="293" t="n"/>
      <c r="AJ69" s="293" t="n"/>
      <c r="AK69" s="293" t="n"/>
      <c r="AL69" s="293" t="n"/>
      <c r="AM69" s="293" t="n"/>
      <c r="AN69" s="293" t="n"/>
      <c r="AO69" s="293" t="n"/>
      <c r="AP69" s="293" t="n"/>
      <c r="AQ69" s="293" t="n"/>
      <c r="AR69" s="293" t="n"/>
      <c r="AS69" s="293" t="n"/>
      <c r="AT69" s="293" t="n"/>
      <c r="AU69" s="293" t="n"/>
      <c r="AV69" s="293" t="n"/>
      <c r="AW69" s="293" t="n"/>
      <c r="AX69" s="293" t="n"/>
      <c r="AY69" s="293" t="n"/>
      <c r="AZ69" s="293" t="n"/>
    </row>
    <row r="70" ht="18" customHeight="1" s="28">
      <c r="A70" s="293" t="n"/>
      <c r="B70" s="293" t="n"/>
      <c r="C70" s="293" t="n"/>
      <c r="D70" s="293" t="n"/>
      <c r="E70" s="293" t="n"/>
      <c r="F70" s="293" t="n"/>
      <c r="G70" s="293" t="n"/>
      <c r="H70" s="293" t="n"/>
      <c r="I70" s="293" t="n"/>
      <c r="J70" s="293" t="n"/>
      <c r="K70" s="293" t="n"/>
      <c r="L70" s="293" t="n"/>
      <c r="M70" s="293" t="n"/>
      <c r="N70" s="293" t="n"/>
      <c r="O70" s="293" t="n"/>
      <c r="P70" s="293" t="n"/>
      <c r="Q70" s="293" t="n"/>
      <c r="R70" s="293" t="n"/>
      <c r="S70" s="293" t="n"/>
      <c r="T70" s="293" t="n"/>
      <c r="U70" s="293" t="n"/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I70" s="293" t="n"/>
      <c r="AJ70" s="293" t="n"/>
      <c r="AK70" s="293" t="n"/>
      <c r="AL70" s="293" t="n"/>
      <c r="AM70" s="293" t="n"/>
      <c r="AN70" s="293" t="n"/>
      <c r="AO70" s="293" t="n"/>
      <c r="AP70" s="293" t="n"/>
      <c r="AQ70" s="293" t="n"/>
      <c r="AR70" s="293" t="n"/>
      <c r="AS70" s="293" t="n"/>
      <c r="AT70" s="293" t="n"/>
      <c r="AU70" s="311" t="n"/>
      <c r="AV70" s="293" t="n"/>
      <c r="AW70" s="293" t="n"/>
      <c r="AX70" s="293" t="n"/>
      <c r="AY70" s="293" t="n"/>
      <c r="AZ70" s="293" t="n"/>
    </row>
    <row r="71" ht="18" customHeight="1" s="28">
      <c r="A71" s="293" t="n"/>
      <c r="B71" s="293" t="n"/>
      <c r="C71" s="293" t="n"/>
      <c r="D71" s="293" t="n"/>
      <c r="E71" s="293" t="n"/>
      <c r="F71" s="293" t="n"/>
      <c r="G71" s="293" t="n"/>
      <c r="H71" s="293" t="n"/>
      <c r="I71" s="293" t="n"/>
      <c r="J71" s="293" t="n"/>
      <c r="K71" s="293" t="n"/>
      <c r="L71" s="293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  <c r="AM71" s="293" t="n"/>
      <c r="AN71" s="293" t="n"/>
      <c r="AO71" s="293" t="n"/>
      <c r="AP71" s="293" t="n"/>
      <c r="AQ71" s="293" t="n"/>
      <c r="AR71" s="293" t="n"/>
      <c r="AS71" s="293" t="n"/>
      <c r="AT71" s="293" t="n"/>
      <c r="AU71" s="311">
        <f>'Tournament Map'!Z28</f>
        <v/>
      </c>
      <c r="AV71" s="293" t="n"/>
      <c r="AW71" s="293" t="n"/>
      <c r="AX71" s="293" t="n"/>
      <c r="AY71" s="293" t="n"/>
      <c r="AZ71" s="293" t="n"/>
    </row>
    <row r="72" ht="18" customHeight="1" s="28">
      <c r="A72" s="293" t="n"/>
      <c r="B72" s="293" t="n"/>
      <c r="C72" s="293" t="n"/>
      <c r="D72" s="293" t="n"/>
      <c r="E72" s="293" t="n"/>
      <c r="F72" s="293" t="n"/>
      <c r="G72" s="293" t="n"/>
      <c r="H72" s="293" t="n"/>
      <c r="I72" s="293" t="n"/>
      <c r="J72" s="293" t="n"/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  <c r="AM72" s="293" t="n"/>
      <c r="AN72" s="293" t="n"/>
      <c r="AO72" s="293" t="n"/>
      <c r="AP72" s="293" t="n"/>
      <c r="AQ72" s="293" t="n"/>
      <c r="AR72" s="293" t="n"/>
      <c r="AS72" s="293" t="n"/>
      <c r="AT72" s="293" t="n"/>
      <c r="AU72" s="311">
        <f>'Tournament Map'!Z29</f>
        <v/>
      </c>
      <c r="AV72" s="293" t="n"/>
      <c r="AW72" s="293" t="n"/>
      <c r="AX72" s="293" t="n"/>
      <c r="AY72" s="293" t="n"/>
      <c r="AZ72" s="293" t="n"/>
    </row>
    <row r="73" ht="18" customHeight="1" s="28">
      <c r="A73" s="293" t="n"/>
      <c r="B73" s="293" t="n"/>
      <c r="C73" s="293" t="n"/>
      <c r="D73" s="293" t="n"/>
      <c r="E73" s="293" t="n"/>
      <c r="F73" s="293" t="n"/>
      <c r="G73" s="293" t="n"/>
      <c r="H73" s="293" t="n"/>
      <c r="I73" s="293" t="n"/>
      <c r="J73" s="293" t="n"/>
      <c r="K73" s="293" t="n"/>
      <c r="L73" s="293" t="n"/>
      <c r="M73" s="293" t="n"/>
      <c r="N73" s="293" t="n"/>
      <c r="O73" s="293" t="n"/>
      <c r="P73" s="293" t="n"/>
      <c r="Q73" s="293" t="n"/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  <c r="AM73" s="293" t="n"/>
      <c r="AN73" s="293" t="n"/>
      <c r="AO73" s="293" t="n"/>
      <c r="AP73" s="293" t="n"/>
      <c r="AQ73" s="293" t="n"/>
      <c r="AR73" s="293" t="n"/>
      <c r="AS73" s="293" t="n"/>
      <c r="AT73" s="293" t="n"/>
      <c r="AU73" s="293" t="n"/>
      <c r="AV73" s="293" t="n"/>
      <c r="AW73" s="293" t="n"/>
      <c r="AX73" s="293" t="n"/>
      <c r="AY73" s="293" t="n"/>
      <c r="AZ73" s="293" t="n"/>
    </row>
    <row r="74" ht="18" customHeight="1" s="28">
      <c r="A74" s="293" t="n"/>
      <c r="B74" s="293" t="n"/>
      <c r="C74" s="293" t="n"/>
      <c r="D74" s="293" t="n"/>
      <c r="E74" s="293" t="n"/>
      <c r="F74" s="293" t="n"/>
      <c r="G74" s="293" t="n"/>
      <c r="H74" s="293" t="n"/>
      <c r="I74" s="293" t="n"/>
      <c r="J74" s="293" t="n"/>
      <c r="K74" s="293" t="n"/>
      <c r="L74" s="293" t="n"/>
      <c r="M74" s="293" t="n"/>
      <c r="N74" s="293" t="n"/>
      <c r="O74" s="293" t="n"/>
      <c r="P74" s="293" t="n"/>
      <c r="Q74" s="293" t="n"/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  <c r="AI74" s="293" t="n"/>
      <c r="AJ74" s="293" t="n"/>
      <c r="AK74" s="293" t="n"/>
      <c r="AL74" s="293" t="n"/>
      <c r="AM74" s="293" t="n"/>
      <c r="AN74" s="293" t="n"/>
      <c r="AO74" s="293" t="n"/>
      <c r="AP74" s="293" t="n"/>
      <c r="AQ74" s="293" t="n"/>
      <c r="AR74" s="293" t="n"/>
      <c r="AS74" s="293" t="n"/>
      <c r="AT74" s="293" t="n"/>
      <c r="AU74" s="311" t="n"/>
      <c r="AV74" s="293" t="n"/>
      <c r="AW74" s="293" t="n"/>
      <c r="AX74" s="293" t="n"/>
      <c r="AY74" s="293" t="n"/>
      <c r="AZ74" s="293" t="n"/>
    </row>
    <row r="75" ht="18" customHeight="1" s="28">
      <c r="A75" s="293" t="n"/>
      <c r="B75" s="293" t="n"/>
      <c r="C75" s="293" t="n"/>
      <c r="D75" s="293" t="n"/>
      <c r="E75" s="293" t="n"/>
      <c r="F75" s="293" t="n"/>
      <c r="G75" s="293" t="n"/>
      <c r="H75" s="293" t="n"/>
      <c r="I75" s="293" t="n"/>
      <c r="J75" s="293" t="n"/>
      <c r="K75" s="293" t="n"/>
      <c r="L75" s="293" t="n"/>
      <c r="M75" s="293" t="n"/>
      <c r="N75" s="293" t="n"/>
      <c r="O75" s="293" t="n"/>
      <c r="P75" s="293" t="n"/>
      <c r="Q75" s="293" t="n"/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  <c r="AI75" s="293" t="n"/>
      <c r="AJ75" s="293" t="n"/>
      <c r="AK75" s="293" t="n"/>
      <c r="AL75" s="293" t="n"/>
      <c r="AM75" s="293" t="n"/>
      <c r="AN75" s="293" t="n"/>
      <c r="AO75" s="293" t="n"/>
      <c r="AP75" s="293" t="n"/>
      <c r="AQ75" s="293" t="n"/>
      <c r="AR75" s="293" t="n"/>
      <c r="AS75" s="293" t="n"/>
      <c r="AT75" s="293" t="n"/>
      <c r="AU75" s="311">
        <f>'Tournament Map'!AE16</f>
        <v/>
      </c>
      <c r="AV75" s="293" t="n"/>
      <c r="AW75" s="293" t="n"/>
      <c r="AX75" s="293" t="n"/>
      <c r="AY75" s="293" t="n"/>
      <c r="AZ75" s="293" t="n"/>
    </row>
    <row r="76" ht="18" customHeight="1" s="28">
      <c r="A76" s="293" t="n"/>
      <c r="B76" s="293" t="n"/>
      <c r="C76" s="293" t="n"/>
      <c r="D76" s="293" t="n"/>
      <c r="E76" s="293" t="n"/>
      <c r="F76" s="293" t="n"/>
      <c r="G76" s="293" t="n"/>
      <c r="H76" s="293" t="n"/>
      <c r="I76" s="293" t="n"/>
      <c r="J76" s="293" t="n"/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  <c r="AI76" s="293" t="n"/>
      <c r="AJ76" s="293" t="n"/>
      <c r="AK76" s="293" t="n"/>
      <c r="AL76" s="293" t="n"/>
      <c r="AM76" s="293" t="n"/>
      <c r="AN76" s="293" t="n"/>
      <c r="AO76" s="293" t="n"/>
      <c r="AP76" s="293" t="n"/>
      <c r="AQ76" s="293" t="n"/>
      <c r="AR76" s="293" t="n"/>
      <c r="AS76" s="293" t="n"/>
      <c r="AT76" s="293" t="n"/>
      <c r="AU76" s="311">
        <f>'Tournament Map'!AE17</f>
        <v/>
      </c>
      <c r="AV76" s="293" t="n"/>
      <c r="AW76" s="293" t="n"/>
      <c r="AX76" s="293" t="n"/>
      <c r="AY76" s="293" t="n"/>
      <c r="AZ76" s="293" t="n"/>
    </row>
    <row r="77" ht="18" customHeight="1" s="28">
      <c r="A77" s="293" t="n"/>
      <c r="B77" s="293" t="n"/>
      <c r="C77" s="293" t="n"/>
      <c r="D77" s="293" t="n"/>
      <c r="E77" s="293" t="n"/>
      <c r="F77" s="293" t="n"/>
      <c r="G77" s="293" t="n"/>
      <c r="H77" s="293" t="n"/>
      <c r="I77" s="293" t="n"/>
      <c r="J77" s="293" t="n"/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  <c r="AM77" s="293" t="n"/>
      <c r="AN77" s="293" t="n"/>
      <c r="AO77" s="293" t="n"/>
      <c r="AP77" s="293" t="n"/>
      <c r="AQ77" s="293" t="n"/>
      <c r="AR77" s="293" t="n"/>
      <c r="AS77" s="293" t="n"/>
      <c r="AT77" s="293" t="n"/>
      <c r="AU77" s="293" t="n"/>
      <c r="AV77" s="293" t="n"/>
      <c r="AW77" s="293" t="n"/>
      <c r="AX77" s="293" t="n"/>
      <c r="AY77" s="293" t="n"/>
      <c r="AZ77" s="293" t="n"/>
    </row>
    <row r="78" ht="18" customHeight="1" s="28">
      <c r="A78" s="293" t="n"/>
      <c r="B78" s="293" t="n"/>
      <c r="C78" s="293" t="n"/>
      <c r="D78" s="293" t="n"/>
      <c r="E78" s="293" t="n"/>
      <c r="F78" s="293" t="n"/>
      <c r="G78" s="293" t="n"/>
      <c r="H78" s="293" t="n"/>
      <c r="I78" s="293" t="n"/>
      <c r="J78" s="293" t="n"/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  <c r="AM78" s="293" t="n"/>
      <c r="AN78" s="293" t="n"/>
      <c r="AO78" s="293" t="n"/>
      <c r="AP78" s="293" t="n"/>
      <c r="AQ78" s="293" t="n"/>
      <c r="AR78" s="293" t="n"/>
      <c r="AS78" s="293" t="n"/>
      <c r="AT78" s="293" t="n"/>
      <c r="AU78" s="311" t="n"/>
      <c r="AV78" s="293" t="n"/>
      <c r="AW78" s="293" t="n"/>
      <c r="AX78" s="293" t="n"/>
      <c r="AY78" s="293" t="n"/>
      <c r="AZ78" s="293" t="n"/>
    </row>
    <row r="79" ht="18" customHeight="1" s="28">
      <c r="A79" s="293" t="n"/>
      <c r="B79" s="293" t="n"/>
      <c r="C79" s="293" t="n"/>
      <c r="D79" s="293" t="n"/>
      <c r="E79" s="293" t="n"/>
      <c r="F79" s="293" t="n"/>
      <c r="G79" s="293" t="n"/>
      <c r="H79" s="293" t="n"/>
      <c r="I79" s="293" t="n"/>
      <c r="J79" s="293" t="n"/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n"/>
      <c r="U79" s="293" t="n"/>
      <c r="V79" s="293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  <c r="AM79" s="293" t="n"/>
      <c r="AN79" s="293" t="n"/>
      <c r="AO79" s="293" t="n"/>
      <c r="AP79" s="293" t="n"/>
      <c r="AQ79" s="293" t="n"/>
      <c r="AR79" s="293" t="n"/>
      <c r="AS79" s="293" t="n"/>
      <c r="AT79" s="293" t="n"/>
      <c r="AU79" s="311">
        <f>'Tournament Map'!AE40</f>
        <v/>
      </c>
      <c r="AV79" s="293" t="n"/>
      <c r="AW79" s="293" t="n"/>
      <c r="AX79" s="293" t="n"/>
      <c r="AY79" s="293" t="n"/>
      <c r="AZ79" s="293" t="n"/>
    </row>
    <row r="80" ht="18" customHeight="1" s="28">
      <c r="A80" s="293" t="n"/>
      <c r="B80" s="293" t="n"/>
      <c r="C80" s="293" t="n"/>
      <c r="D80" s="293" t="n"/>
      <c r="E80" s="293" t="n"/>
      <c r="F80" s="293" t="n"/>
      <c r="G80" s="293" t="n"/>
      <c r="H80" s="293" t="n"/>
      <c r="I80" s="293" t="n"/>
      <c r="J80" s="293" t="n"/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  <c r="AM80" s="293" t="n"/>
      <c r="AN80" s="293" t="n"/>
      <c r="AO80" s="293" t="n"/>
      <c r="AP80" s="293" t="n"/>
      <c r="AQ80" s="293" t="n"/>
      <c r="AR80" s="293" t="n"/>
      <c r="AS80" s="293" t="n"/>
      <c r="AT80" s="293" t="n"/>
      <c r="AU80" s="311">
        <f>'Tournament Map'!AE41</f>
        <v/>
      </c>
      <c r="AV80" s="293" t="n"/>
      <c r="AW80" s="293" t="n"/>
      <c r="AX80" s="293" t="n"/>
      <c r="AY80" s="293" t="n"/>
      <c r="AZ80" s="293" t="n"/>
    </row>
    <row r="82">
      <c r="AU82" s="316" t="n"/>
    </row>
    <row r="83">
      <c r="AU83" s="316">
        <f>'Tournament Map'!AJ10</f>
        <v/>
      </c>
    </row>
    <row r="84">
      <c r="AU84" s="316">
        <f>'Tournament Map'!AJ11</f>
        <v/>
      </c>
    </row>
    <row r="86">
      <c r="AU86" s="316" t="n"/>
    </row>
    <row r="87">
      <c r="AU87" s="316">
        <f>'Tournament Map'!AJ22</f>
        <v/>
      </c>
    </row>
    <row r="88">
      <c r="AU88" s="316">
        <f>'Tournament Map'!AJ23</f>
        <v/>
      </c>
    </row>
    <row r="90">
      <c r="AU90" s="316" t="n"/>
    </row>
    <row r="91">
      <c r="AU91" s="316">
        <f>'Tournament Map'!AJ34</f>
        <v/>
      </c>
    </row>
    <row r="92">
      <c r="AU92" s="316">
        <f>'Tournament Map'!AJ35</f>
        <v/>
      </c>
    </row>
    <row r="94">
      <c r="AU94" s="316" t="n"/>
    </row>
    <row r="95">
      <c r="AU95" s="316">
        <f>'Tournament Map'!AJ46</f>
        <v/>
      </c>
    </row>
    <row r="96">
      <c r="AU96" s="316">
        <f>'Tournament Map'!AJ47</f>
        <v/>
      </c>
    </row>
    <row r="98">
      <c r="AU98" s="316" t="n"/>
    </row>
    <row r="99">
      <c r="AU99" s="316">
        <f>'Tournament Map'!AO7</f>
        <v/>
      </c>
    </row>
    <row r="100">
      <c r="AU100" s="316">
        <f>'Tournament Map'!AO8</f>
        <v/>
      </c>
    </row>
    <row r="102">
      <c r="AU102" s="316" t="n"/>
    </row>
    <row r="103">
      <c r="AU103" s="316">
        <f>'Tournament Map'!AO13</f>
        <v/>
      </c>
    </row>
    <row r="104">
      <c r="AU104" s="316">
        <f>'Tournament Map'!AO14</f>
        <v/>
      </c>
    </row>
    <row r="106">
      <c r="AU106" s="316" t="n"/>
    </row>
    <row r="107">
      <c r="AU107" s="316">
        <f>'Tournament Map'!AO19</f>
        <v/>
      </c>
    </row>
    <row r="108">
      <c r="AU108" s="316">
        <f>'Tournament Map'!AO20</f>
        <v/>
      </c>
    </row>
    <row r="110">
      <c r="AU110" s="316" t="n"/>
    </row>
    <row r="111">
      <c r="AU111" s="316">
        <f>'Tournament Map'!AO25</f>
        <v/>
      </c>
    </row>
    <row r="112">
      <c r="AU112" s="316">
        <f>'Tournament Map'!AO26</f>
        <v/>
      </c>
    </row>
    <row r="114">
      <c r="AU114" s="316" t="n"/>
    </row>
    <row r="115">
      <c r="AU115" s="316">
        <f>'Tournament Map'!AO31</f>
        <v/>
      </c>
    </row>
    <row r="116">
      <c r="AU116" s="316">
        <f>'Tournament Map'!AO32</f>
        <v/>
      </c>
    </row>
    <row r="118">
      <c r="AU118" s="316" t="n"/>
    </row>
    <row r="119">
      <c r="AU119" s="316">
        <f>'Tournament Map'!AO37</f>
        <v/>
      </c>
    </row>
    <row r="120">
      <c r="AU120" s="316">
        <f>'Tournament Map'!AO38</f>
        <v/>
      </c>
    </row>
    <row r="122">
      <c r="AU122" s="316" t="n"/>
    </row>
    <row r="123">
      <c r="AU123" s="316">
        <f>'Tournament Map'!AO43</f>
        <v/>
      </c>
    </row>
    <row r="124">
      <c r="AU124" s="316">
        <f>'Tournament Map'!AO44</f>
        <v/>
      </c>
    </row>
    <row r="126">
      <c r="AU126" s="316" t="n"/>
    </row>
    <row r="127">
      <c r="AU127" s="316">
        <f>'Tournament Map'!AO49</f>
        <v/>
      </c>
    </row>
    <row r="128">
      <c r="AU128" s="316">
        <f>'Tournament Map'!AO50</f>
        <v/>
      </c>
    </row>
  </sheetData>
  <mergeCells count="177">
    <mergeCell ref="A5:D5"/>
    <mergeCell ref="B57:D57"/>
    <mergeCell ref="AP50:AR50"/>
    <mergeCell ref="AJ10:AL10"/>
    <mergeCell ref="AJ26:AM26"/>
    <mergeCell ref="AO14:AQ14"/>
    <mergeCell ref="A21:C21"/>
    <mergeCell ref="U29:X29"/>
    <mergeCell ref="A44:D44"/>
    <mergeCell ref="A58:D58"/>
    <mergeCell ref="A1:AR1"/>
    <mergeCell ref="F9:H9"/>
    <mergeCell ref="K17:M17"/>
    <mergeCell ref="A51:D51"/>
    <mergeCell ref="AO23:AR23"/>
    <mergeCell ref="P30:R30"/>
    <mergeCell ref="AO21:AQ21"/>
    <mergeCell ref="L46:N46"/>
    <mergeCell ref="AE47:AH47"/>
    <mergeCell ref="AF46:AH46"/>
    <mergeCell ref="AO47:AR47"/>
    <mergeCell ref="A54:D54"/>
    <mergeCell ref="Z31:AB31"/>
    <mergeCell ref="AE43:AH43"/>
    <mergeCell ref="U44:W44"/>
    <mergeCell ref="A16:D16"/>
    <mergeCell ref="A34:C34"/>
    <mergeCell ref="K16:M16"/>
    <mergeCell ref="AO37:AR37"/>
    <mergeCell ref="AE16:AG16"/>
    <mergeCell ref="U25:X25"/>
    <mergeCell ref="A49:C49"/>
    <mergeCell ref="AJ51:AL51"/>
    <mergeCell ref="AO48:AQ48"/>
    <mergeCell ref="U27:W27"/>
    <mergeCell ref="A6:C6"/>
    <mergeCell ref="K45:M45"/>
    <mergeCell ref="A33:D33"/>
    <mergeCell ref="B43:D43"/>
    <mergeCell ref="Z29:AC29"/>
    <mergeCell ref="AK25:AM25"/>
    <mergeCell ref="AE19:AH19"/>
    <mergeCell ref="U42:X42"/>
    <mergeCell ref="F51:H51"/>
    <mergeCell ref="AJ38:AL38"/>
    <mergeCell ref="L18:N18"/>
    <mergeCell ref="K44:M44"/>
    <mergeCell ref="B8:D8"/>
    <mergeCell ref="AO9:AR9"/>
    <mergeCell ref="A19:D19"/>
    <mergeCell ref="A55:C55"/>
    <mergeCell ref="AK11:AM11"/>
    <mergeCell ref="P33:S33"/>
    <mergeCell ref="AJ54:AM54"/>
    <mergeCell ref="AO42:AQ42"/>
    <mergeCell ref="A9:D9"/>
    <mergeCell ref="AJ24:AL24"/>
    <mergeCell ref="AO20:AQ20"/>
    <mergeCell ref="A14:C14"/>
    <mergeCell ref="A30:D30"/>
    <mergeCell ref="AP36:AR36"/>
    <mergeCell ref="F54:I54"/>
    <mergeCell ref="K15:N15"/>
    <mergeCell ref="AJ40:AM40"/>
    <mergeCell ref="U46:X46"/>
    <mergeCell ref="AO6:AQ6"/>
    <mergeCell ref="A13:C13"/>
    <mergeCell ref="B36:D36"/>
    <mergeCell ref="Q32:S32"/>
    <mergeCell ref="AA32:AC32"/>
    <mergeCell ref="AJ8:AM8"/>
    <mergeCell ref="AF18:AH18"/>
    <mergeCell ref="U26:W26"/>
    <mergeCell ref="AJ9:AL9"/>
    <mergeCell ref="AO12:AR12"/>
    <mergeCell ref="U4:X5"/>
    <mergeCell ref="Z30:AB30"/>
    <mergeCell ref="U8:V8"/>
    <mergeCell ref="W8:X8"/>
    <mergeCell ref="AO7:AQ7"/>
    <mergeCell ref="Z3:AC3"/>
    <mergeCell ref="A26:D26"/>
    <mergeCell ref="AJ3:AM3"/>
    <mergeCell ref="K43:N43"/>
    <mergeCell ref="AJ52:AL52"/>
    <mergeCell ref="P31:R31"/>
    <mergeCell ref="A7:C7"/>
    <mergeCell ref="F24:H24"/>
    <mergeCell ref="AP29:AR29"/>
    <mergeCell ref="AO54:AR54"/>
    <mergeCell ref="AJ36:AM36"/>
    <mergeCell ref="U9:V9"/>
    <mergeCell ref="AO26:AR26"/>
    <mergeCell ref="G53:I53"/>
    <mergeCell ref="AE17:AG17"/>
    <mergeCell ref="K19:N19"/>
    <mergeCell ref="AE44:AG44"/>
    <mergeCell ref="F23:H23"/>
    <mergeCell ref="A42:C42"/>
    <mergeCell ref="F38:H38"/>
    <mergeCell ref="AO35:AQ35"/>
    <mergeCell ref="AJ37:AL37"/>
    <mergeCell ref="AO40:AR40"/>
    <mergeCell ref="K3:N3"/>
    <mergeCell ref="V45:X45"/>
    <mergeCell ref="F52:H52"/>
    <mergeCell ref="A20:C20"/>
    <mergeCell ref="F37:H37"/>
    <mergeCell ref="A28:C28"/>
    <mergeCell ref="B50:D50"/>
    <mergeCell ref="AE3:AH3"/>
    <mergeCell ref="AP57:AR57"/>
    <mergeCell ref="AO3:AR3"/>
    <mergeCell ref="K47:N47"/>
    <mergeCell ref="F36:I36"/>
    <mergeCell ref="A37:D37"/>
    <mergeCell ref="F50:I50"/>
    <mergeCell ref="A2:AR2"/>
    <mergeCell ref="A12:D12"/>
    <mergeCell ref="B22:D22"/>
    <mergeCell ref="F8:I8"/>
    <mergeCell ref="AO30:AR30"/>
    <mergeCell ref="U7:X7"/>
    <mergeCell ref="AO13:AQ13"/>
    <mergeCell ref="F22:I22"/>
    <mergeCell ref="A23:D23"/>
    <mergeCell ref="A41:C41"/>
    <mergeCell ref="V28:X28"/>
    <mergeCell ref="AO44:AR44"/>
    <mergeCell ref="P3:S3"/>
    <mergeCell ref="A56:C56"/>
    <mergeCell ref="A27:C27"/>
    <mergeCell ref="AE15:AH15"/>
    <mergeCell ref="AP22:AR22"/>
    <mergeCell ref="B29:D29"/>
    <mergeCell ref="U43:W43"/>
    <mergeCell ref="AO51:AR51"/>
    <mergeCell ref="A40:D40"/>
    <mergeCell ref="AP15:AR15"/>
    <mergeCell ref="AJ22:AM22"/>
    <mergeCell ref="AO41:AQ41"/>
    <mergeCell ref="AJ50:AM50"/>
    <mergeCell ref="P29:S29"/>
    <mergeCell ref="B15:D15"/>
    <mergeCell ref="A35:C35"/>
    <mergeCell ref="AJ12:AM12"/>
    <mergeCell ref="AO56:AQ56"/>
    <mergeCell ref="AO16:AR16"/>
    <mergeCell ref="G25:I25"/>
    <mergeCell ref="AO34:AQ34"/>
    <mergeCell ref="F40:I40"/>
    <mergeCell ref="AO55:AQ55"/>
    <mergeCell ref="F3:I3"/>
    <mergeCell ref="AO49:AQ49"/>
    <mergeCell ref="F12:I12"/>
    <mergeCell ref="AO27:AQ27"/>
    <mergeCell ref="AE45:AG45"/>
    <mergeCell ref="A48:C48"/>
    <mergeCell ref="AO19:AR19"/>
    <mergeCell ref="AK53:AM53"/>
    <mergeCell ref="W9:X9"/>
    <mergeCell ref="AO33:AR33"/>
    <mergeCell ref="G11:I11"/>
    <mergeCell ref="AP43:AR43"/>
    <mergeCell ref="F10:H10"/>
    <mergeCell ref="F26:I26"/>
    <mergeCell ref="A3:D3"/>
    <mergeCell ref="G39:I39"/>
    <mergeCell ref="AJ23:AL23"/>
    <mergeCell ref="U3:X3"/>
    <mergeCell ref="AP8:AR8"/>
    <mergeCell ref="AO28:AQ28"/>
    <mergeCell ref="AO58:AR58"/>
    <mergeCell ref="A47:D47"/>
    <mergeCell ref="Z33:AC33"/>
    <mergeCell ref="AO5:AR5"/>
    <mergeCell ref="AK39:AM39"/>
  </mergeCells>
  <dataValidations count="32">
    <dataValidation sqref="B8" showDropDown="0" showInputMessage="0" showErrorMessage="0" allowBlank="1" type="list">
      <formula1>'Knockout Pitch Map'!$AU$2:$AU$4</formula1>
    </dataValidation>
    <dataValidation sqref="B15" showDropDown="0" showInputMessage="0" showErrorMessage="0" allowBlank="1" type="list">
      <formula1>'Knockout Pitch Map'!$AU$6:$AU$8</formula1>
    </dataValidation>
    <dataValidation sqref="B22" showDropDown="0" showInputMessage="0" showErrorMessage="0" allowBlank="1" type="list">
      <formula1>'Knockout Pitch Map'!$AU$10:$AU$12</formula1>
    </dataValidation>
    <dataValidation sqref="B29" showDropDown="0" showInputMessage="0" showErrorMessage="0" allowBlank="1" type="list">
      <formula1>'Knockout Pitch Map'!$AU$14:$AU$16</formula1>
    </dataValidation>
    <dataValidation sqref="B36" showDropDown="0" showInputMessage="0" showErrorMessage="0" allowBlank="1" type="list">
      <formula1>'Knockout Pitch Map'!$AU$18:$AU$20</formula1>
    </dataValidation>
    <dataValidation sqref="B43" showDropDown="0" showInputMessage="0" showErrorMessage="0" allowBlank="1" type="list">
      <formula1>'Knockout Pitch Map'!$AU$22:$AU$24</formula1>
    </dataValidation>
    <dataValidation sqref="B50" showDropDown="0" showInputMessage="0" showErrorMessage="0" allowBlank="1" type="list">
      <formula1>'Knockout Pitch Map'!$AU$26:$AU$28</formula1>
    </dataValidation>
    <dataValidation sqref="B57" showDropDown="0" showInputMessage="0" showErrorMessage="0" allowBlank="1" type="list">
      <formula1>'Knockout Pitch Map'!$AU$30:$AU$32</formula1>
    </dataValidation>
    <dataValidation sqref="G11" showDropDown="0" showInputMessage="0" showErrorMessage="0" allowBlank="1" type="list">
      <formula1>'Knockout Pitch Map'!$AU$34:$AU$36</formula1>
    </dataValidation>
    <dataValidation sqref="G25" showDropDown="0" showInputMessage="0" showErrorMessage="0" allowBlank="1" type="list">
      <formula1>'Knockout Pitch Map'!$AU$38:$AU$40</formula1>
    </dataValidation>
    <dataValidation sqref="G39" showDropDown="0" showInputMessage="0" showErrorMessage="0" allowBlank="1" type="list">
      <formula1>'Knockout Pitch Map'!$AU$42:$AU$44</formula1>
    </dataValidation>
    <dataValidation sqref="G53" showDropDown="0" showInputMessage="0" showErrorMessage="0" allowBlank="1" type="list">
      <formula1>'Knockout Pitch Map'!$AU$46:$AU$48</formula1>
    </dataValidation>
    <dataValidation sqref="L18" showDropDown="0" showInputMessage="0" showErrorMessage="0" allowBlank="1" type="list">
      <formula1>'Knockout Pitch Map'!$AU$50:$AU$52</formula1>
    </dataValidation>
    <dataValidation sqref="L46" showDropDown="0" showInputMessage="0" showErrorMessage="0" allowBlank="1" type="list">
      <formula1>'Knockout Pitch Map'!$AU$54:$AU$56</formula1>
    </dataValidation>
    <dataValidation sqref="Q32" showDropDown="0" showInputMessage="0" showErrorMessage="0" allowBlank="1" type="list">
      <formula1>'Knockout Pitch Map'!$AU$58:$AU$60</formula1>
    </dataValidation>
    <dataValidation sqref="V28" showDropDown="0" showInputMessage="0" showErrorMessage="0" allowBlank="1" type="list">
      <formula1>'Knockout Pitch Map'!$AU$62:$AU$64</formula1>
    </dataValidation>
    <dataValidation sqref="V45" showDropDown="0" showInputMessage="0" showErrorMessage="0" allowBlank="1" type="list">
      <formula1>'Knockout Pitch Map'!$AU$66:$AU$68</formula1>
    </dataValidation>
    <dataValidation sqref="AA32" showDropDown="0" showInputMessage="0" showErrorMessage="0" allowBlank="1" type="list">
      <formula1>'Knockout Pitch Map'!$AU$70:$AU$72</formula1>
    </dataValidation>
    <dataValidation sqref="AF18" showDropDown="0" showInputMessage="0" showErrorMessage="0" allowBlank="1" type="list">
      <formula1>'Knockout Pitch Map'!$AU$74:$AU$76</formula1>
    </dataValidation>
    <dataValidation sqref="AF46" showDropDown="0" showInputMessage="0" showErrorMessage="0" allowBlank="1" type="list">
      <formula1>'Knockout Pitch Map'!$AU$78:$AU$80</formula1>
    </dataValidation>
    <dataValidation sqref="AK11" showDropDown="0" showInputMessage="0" showErrorMessage="0" allowBlank="1" type="list">
      <formula1>'Knockout Pitch Map'!$AU$82:$AU$84</formula1>
    </dataValidation>
    <dataValidation sqref="AK25" showDropDown="0" showInputMessage="0" showErrorMessage="0" allowBlank="1" type="list">
      <formula1>'Knockout Pitch Map'!$AU$86:$AU$88</formula1>
    </dataValidation>
    <dataValidation sqref="AK39" showDropDown="0" showInputMessage="0" showErrorMessage="0" allowBlank="1" type="list">
      <formula1>'Knockout Pitch Map'!$AU$90:$AU$92</formula1>
    </dataValidation>
    <dataValidation sqref="AK53" showDropDown="0" showInputMessage="0" showErrorMessage="0" allowBlank="1" type="list">
      <formula1>'Knockout Pitch Map'!$AU$94:$AU$96</formula1>
    </dataValidation>
    <dataValidation sqref="AP8" showDropDown="0" showInputMessage="0" showErrorMessage="0" allowBlank="1" type="list">
      <formula1>'Knockout Pitch Map'!$AU$98:$AU$100</formula1>
    </dataValidation>
    <dataValidation sqref="AP15" showDropDown="0" showInputMessage="0" showErrorMessage="0" allowBlank="1" type="list">
      <formula1>'Knockout Pitch Map'!$AU$102:$AU$104</formula1>
    </dataValidation>
    <dataValidation sqref="AP22" showDropDown="0" showInputMessage="0" showErrorMessage="0" allowBlank="1" type="list">
      <formula1>'Knockout Pitch Map'!$AU$106:$AU$108</formula1>
    </dataValidation>
    <dataValidation sqref="AP29" showDropDown="0" showInputMessage="0" showErrorMessage="0" allowBlank="1" type="list">
      <formula1>'Knockout Pitch Map'!$AU$110:$AU$112</formula1>
    </dataValidation>
    <dataValidation sqref="AP36" showDropDown="0" showInputMessage="0" showErrorMessage="0" allowBlank="1" type="list">
      <formula1>'Knockout Pitch Map'!$AU$114:$AU$116</formula1>
    </dataValidation>
    <dataValidation sqref="AP43" showDropDown="0" showInputMessage="0" showErrorMessage="0" allowBlank="1" type="list">
      <formula1>'Knockout Pitch Map'!$AU$118:$AU$120</formula1>
    </dataValidation>
    <dataValidation sqref="AP50" showDropDown="0" showInputMessage="0" showErrorMessage="0" allowBlank="1" type="list">
      <formula1>'Knockout Pitch Map'!$AU$122:$AU$124</formula1>
    </dataValidation>
    <dataValidation sqref="AP57" showDropDown="0" showInputMessage="0" showErrorMessage="0" allowBlank="1" type="list">
      <formula1>'Knockout Pitch Map'!$AU$126:$AU$128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style="28" min="1" max="1"/>
    <col width="8" customWidth="1" style="28" min="2" max="2"/>
    <col width="8" customWidth="1" style="28" min="3" max="3"/>
    <col width="30" customWidth="1" style="28" min="4" max="4"/>
    <col width="18" customWidth="1" style="28" min="5" max="5"/>
    <col width="42" customWidth="1" style="28" min="6" max="6"/>
  </cols>
  <sheetData>
    <row r="1">
      <c r="A1" s="423" t="inlineStr">
        <is>
          <t>Embedded Flag Assets</t>
        </is>
      </c>
      <c r="B1" s="1" t="n"/>
      <c r="C1" s="1" t="n"/>
      <c r="D1" s="1" t="n"/>
      <c r="E1" s="1" t="n"/>
      <c r="F1" s="1" t="n"/>
    </row>
    <row r="2">
      <c r="A2" s="424" t="inlineStr">
        <is>
          <t>Group</t>
        </is>
      </c>
      <c r="B2" s="424" t="inlineStr">
        <is>
          <t>Seed</t>
        </is>
      </c>
      <c r="C2" s="424" t="inlineStr">
        <is>
          <t>Flag</t>
        </is>
      </c>
      <c r="D2" s="424" t="inlineStr">
        <is>
          <t>Team</t>
        </is>
      </c>
      <c r="E2" s="424" t="inlineStr">
        <is>
          <t>PNG file</t>
        </is>
      </c>
      <c r="F2" s="424" t="inlineStr">
        <is>
          <t>Note</t>
        </is>
      </c>
    </row>
    <row r="3" ht="22" customHeight="1" s="28">
      <c r="A3" t="inlineStr">
        <is>
          <t>A</t>
        </is>
      </c>
      <c r="B3" t="n">
        <v>1</v>
      </c>
      <c r="D3" t="inlineStr">
        <is>
          <t>Mexico</t>
        </is>
      </c>
      <c r="E3" t="inlineStr">
        <is>
          <t>mx.png</t>
        </is>
      </c>
      <c r="F3" t="inlineStr">
        <is>
          <t>Embedded PNG flag image, not emoji text</t>
        </is>
      </c>
    </row>
    <row r="4" ht="22" customHeight="1" s="28">
      <c r="A4" t="inlineStr">
        <is>
          <t>A</t>
        </is>
      </c>
      <c r="B4" t="n">
        <v>2</v>
      </c>
      <c r="D4" t="inlineStr">
        <is>
          <t>South Africa</t>
        </is>
      </c>
      <c r="E4" t="inlineStr">
        <is>
          <t>za.png</t>
        </is>
      </c>
      <c r="F4" t="inlineStr">
        <is>
          <t>Embedded PNG flag image, not emoji text</t>
        </is>
      </c>
    </row>
    <row r="5" ht="22" customHeight="1" s="28">
      <c r="A5" t="inlineStr">
        <is>
          <t>A</t>
        </is>
      </c>
      <c r="B5" t="n">
        <v>3</v>
      </c>
      <c r="D5" t="inlineStr">
        <is>
          <t>Korea Republic</t>
        </is>
      </c>
      <c r="E5" t="inlineStr">
        <is>
          <t>kr.png</t>
        </is>
      </c>
      <c r="F5" t="inlineStr">
        <is>
          <t>Embedded PNG flag image, not emoji text</t>
        </is>
      </c>
    </row>
    <row r="6" ht="22" customHeight="1" s="28">
      <c r="A6" t="inlineStr">
        <is>
          <t>A</t>
        </is>
      </c>
      <c r="B6" t="n">
        <v>4</v>
      </c>
      <c r="D6" t="inlineStr">
        <is>
          <t>Czechia</t>
        </is>
      </c>
      <c r="E6" t="inlineStr">
        <is>
          <t>cz.png</t>
        </is>
      </c>
      <c r="F6" t="inlineStr">
        <is>
          <t>Embedded PNG flag image, not emoji text</t>
        </is>
      </c>
    </row>
    <row r="7" ht="22" customHeight="1" s="28">
      <c r="A7" t="inlineStr">
        <is>
          <t>B</t>
        </is>
      </c>
      <c r="B7" t="n">
        <v>1</v>
      </c>
      <c r="D7" t="inlineStr">
        <is>
          <t>Canada</t>
        </is>
      </c>
      <c r="E7" t="inlineStr">
        <is>
          <t>ca.png</t>
        </is>
      </c>
      <c r="F7" t="inlineStr">
        <is>
          <t>Embedded PNG flag image, not emoji text</t>
        </is>
      </c>
    </row>
    <row r="8" ht="22" customHeight="1" s="28">
      <c r="A8" t="inlineStr">
        <is>
          <t>B</t>
        </is>
      </c>
      <c r="B8" t="n">
        <v>2</v>
      </c>
      <c r="D8" t="inlineStr">
        <is>
          <t>Bosnia and Herzegovina</t>
        </is>
      </c>
      <c r="E8" t="inlineStr">
        <is>
          <t>ba.png</t>
        </is>
      </c>
      <c r="F8" t="inlineStr">
        <is>
          <t>Embedded PNG flag image, not emoji text</t>
        </is>
      </c>
    </row>
    <row r="9" ht="22" customHeight="1" s="28">
      <c r="A9" t="inlineStr">
        <is>
          <t>B</t>
        </is>
      </c>
      <c r="B9" t="n">
        <v>3</v>
      </c>
      <c r="D9" t="inlineStr">
        <is>
          <t>Switzerland</t>
        </is>
      </c>
      <c r="E9" t="inlineStr">
        <is>
          <t>ch.png</t>
        </is>
      </c>
      <c r="F9" t="inlineStr">
        <is>
          <t>Embedded PNG flag image, not emoji text</t>
        </is>
      </c>
    </row>
    <row r="10" ht="22" customHeight="1" s="28">
      <c r="A10" t="inlineStr">
        <is>
          <t>B</t>
        </is>
      </c>
      <c r="B10" t="n">
        <v>4</v>
      </c>
      <c r="D10" t="inlineStr">
        <is>
          <t>Qatar</t>
        </is>
      </c>
      <c r="E10" t="inlineStr">
        <is>
          <t>qa.png</t>
        </is>
      </c>
      <c r="F10" t="inlineStr">
        <is>
          <t>Embedded PNG flag image, not emoji text</t>
        </is>
      </c>
    </row>
    <row r="11" ht="22" customHeight="1" s="28">
      <c r="A11" t="inlineStr">
        <is>
          <t>C</t>
        </is>
      </c>
      <c r="B11" t="n">
        <v>1</v>
      </c>
      <c r="D11" t="inlineStr">
        <is>
          <t>Brazil</t>
        </is>
      </c>
      <c r="E11" t="inlineStr">
        <is>
          <t>br.png</t>
        </is>
      </c>
      <c r="F11" t="inlineStr">
        <is>
          <t>Embedded PNG flag image, not emoji text</t>
        </is>
      </c>
    </row>
    <row r="12" ht="22" customHeight="1" s="28">
      <c r="A12" t="inlineStr">
        <is>
          <t>C</t>
        </is>
      </c>
      <c r="B12" t="n">
        <v>2</v>
      </c>
      <c r="D12" t="inlineStr">
        <is>
          <t>Morocco</t>
        </is>
      </c>
      <c r="E12" t="inlineStr">
        <is>
          <t>ma.png</t>
        </is>
      </c>
      <c r="F12" t="inlineStr">
        <is>
          <t>Embedded PNG flag image, not emoji text</t>
        </is>
      </c>
    </row>
    <row r="13" ht="22" customHeight="1" s="28">
      <c r="A13" t="inlineStr">
        <is>
          <t>C</t>
        </is>
      </c>
      <c r="B13" t="n">
        <v>3</v>
      </c>
      <c r="D13" t="inlineStr">
        <is>
          <t>Scotland</t>
        </is>
      </c>
      <c r="E13" t="inlineStr">
        <is>
          <t>scotland.png</t>
        </is>
      </c>
      <c r="F13" t="inlineStr">
        <is>
          <t>Embedded PNG flag image, not emoji text</t>
        </is>
      </c>
    </row>
    <row r="14" ht="22" customHeight="1" s="28">
      <c r="A14" t="inlineStr">
        <is>
          <t>C</t>
        </is>
      </c>
      <c r="B14" t="n">
        <v>4</v>
      </c>
      <c r="D14" t="inlineStr">
        <is>
          <t>Haiti</t>
        </is>
      </c>
      <c r="E14" t="inlineStr">
        <is>
          <t>ht.png</t>
        </is>
      </c>
      <c r="F14" t="inlineStr">
        <is>
          <t>Embedded PNG flag image, not emoji text</t>
        </is>
      </c>
    </row>
    <row r="15" ht="22" customHeight="1" s="28">
      <c r="A15" t="inlineStr">
        <is>
          <t>D</t>
        </is>
      </c>
      <c r="B15" t="n">
        <v>1</v>
      </c>
      <c r="D15" t="inlineStr">
        <is>
          <t>USA</t>
        </is>
      </c>
      <c r="E15" t="inlineStr">
        <is>
          <t>us.png</t>
        </is>
      </c>
      <c r="F15" t="inlineStr">
        <is>
          <t>Embedded PNG flag image, not emoji text</t>
        </is>
      </c>
    </row>
    <row r="16" ht="22" customHeight="1" s="28">
      <c r="A16" t="inlineStr">
        <is>
          <t>D</t>
        </is>
      </c>
      <c r="B16" t="n">
        <v>2</v>
      </c>
      <c r="D16" t="inlineStr">
        <is>
          <t>Paraguay</t>
        </is>
      </c>
      <c r="E16" t="inlineStr">
        <is>
          <t>py.png</t>
        </is>
      </c>
      <c r="F16" t="inlineStr">
        <is>
          <t>Embedded PNG flag image, not emoji text</t>
        </is>
      </c>
    </row>
    <row r="17" ht="22" customHeight="1" s="28">
      <c r="A17" t="inlineStr">
        <is>
          <t>D</t>
        </is>
      </c>
      <c r="B17" t="n">
        <v>3</v>
      </c>
      <c r="D17" t="inlineStr">
        <is>
          <t>Australia</t>
        </is>
      </c>
      <c r="E17" t="inlineStr">
        <is>
          <t>au.png</t>
        </is>
      </c>
      <c r="F17" t="inlineStr">
        <is>
          <t>Embedded PNG flag image, not emoji text</t>
        </is>
      </c>
    </row>
    <row r="18" ht="22" customHeight="1" s="28">
      <c r="A18" t="inlineStr">
        <is>
          <t>D</t>
        </is>
      </c>
      <c r="B18" t="n">
        <v>4</v>
      </c>
      <c r="D18" t="inlineStr">
        <is>
          <t>Türkiye</t>
        </is>
      </c>
      <c r="E18" t="inlineStr">
        <is>
          <t>tr.png</t>
        </is>
      </c>
      <c r="F18" t="inlineStr">
        <is>
          <t>Embedded PNG flag image, not emoji text</t>
        </is>
      </c>
    </row>
    <row r="19" ht="22" customHeight="1" s="28">
      <c r="A19" t="inlineStr">
        <is>
          <t>E</t>
        </is>
      </c>
      <c r="B19" t="n">
        <v>1</v>
      </c>
      <c r="D19" t="inlineStr">
        <is>
          <t>Germany</t>
        </is>
      </c>
      <c r="E19" t="inlineStr">
        <is>
          <t>de.png</t>
        </is>
      </c>
      <c r="F19" t="inlineStr">
        <is>
          <t>Embedded PNG flag image, not emoji text</t>
        </is>
      </c>
    </row>
    <row r="20" ht="22" customHeight="1" s="28">
      <c r="A20" t="inlineStr">
        <is>
          <t>E</t>
        </is>
      </c>
      <c r="B20" t="n">
        <v>2</v>
      </c>
      <c r="D20" t="inlineStr">
        <is>
          <t>Curaçao</t>
        </is>
      </c>
      <c r="E20" t="inlineStr">
        <is>
          <t>cw.png</t>
        </is>
      </c>
      <c r="F20" t="inlineStr">
        <is>
          <t>Embedded PNG flag image, not emoji text</t>
        </is>
      </c>
    </row>
    <row r="21" ht="22" customHeight="1" s="28">
      <c r="A21" t="inlineStr">
        <is>
          <t>E</t>
        </is>
      </c>
      <c r="B21" t="n">
        <v>3</v>
      </c>
      <c r="D21" t="inlineStr">
        <is>
          <t>Côte d'Ivoire</t>
        </is>
      </c>
      <c r="E21" t="inlineStr">
        <is>
          <t>ci.png</t>
        </is>
      </c>
      <c r="F21" t="inlineStr">
        <is>
          <t>Embedded PNG flag image, not emoji text</t>
        </is>
      </c>
    </row>
    <row r="22" ht="22" customHeight="1" s="28">
      <c r="A22" t="inlineStr">
        <is>
          <t>E</t>
        </is>
      </c>
      <c r="B22" t="n">
        <v>4</v>
      </c>
      <c r="D22" t="inlineStr">
        <is>
          <t>Ecuador</t>
        </is>
      </c>
      <c r="E22" t="inlineStr">
        <is>
          <t>ec.png</t>
        </is>
      </c>
      <c r="F22" t="inlineStr">
        <is>
          <t>Embedded PNG flag image, not emoji text</t>
        </is>
      </c>
    </row>
    <row r="23" ht="22" customHeight="1" s="28">
      <c r="A23" t="inlineStr">
        <is>
          <t>F</t>
        </is>
      </c>
      <c r="B23" t="n">
        <v>1</v>
      </c>
      <c r="D23" t="inlineStr">
        <is>
          <t>Netherlands</t>
        </is>
      </c>
      <c r="E23" t="inlineStr">
        <is>
          <t>nl.png</t>
        </is>
      </c>
      <c r="F23" t="inlineStr">
        <is>
          <t>Embedded PNG flag image, not emoji text</t>
        </is>
      </c>
    </row>
    <row r="24" ht="22" customHeight="1" s="28">
      <c r="A24" t="inlineStr">
        <is>
          <t>F</t>
        </is>
      </c>
      <c r="B24" t="n">
        <v>2</v>
      </c>
      <c r="D24" t="inlineStr">
        <is>
          <t>Japan</t>
        </is>
      </c>
      <c r="E24" t="inlineStr">
        <is>
          <t>jp.png</t>
        </is>
      </c>
      <c r="F24" t="inlineStr">
        <is>
          <t>Embedded PNG flag image, not emoji text</t>
        </is>
      </c>
    </row>
    <row r="25" ht="22" customHeight="1" s="28">
      <c r="A25" t="inlineStr">
        <is>
          <t>F</t>
        </is>
      </c>
      <c r="B25" t="n">
        <v>3</v>
      </c>
      <c r="D25" t="inlineStr">
        <is>
          <t>Sweden</t>
        </is>
      </c>
      <c r="E25" t="inlineStr">
        <is>
          <t>se.png</t>
        </is>
      </c>
      <c r="F25" t="inlineStr">
        <is>
          <t>Embedded PNG flag image, not emoji text</t>
        </is>
      </c>
    </row>
    <row r="26" ht="22" customHeight="1" s="28">
      <c r="A26" t="inlineStr">
        <is>
          <t>F</t>
        </is>
      </c>
      <c r="B26" t="n">
        <v>4</v>
      </c>
      <c r="D26" t="inlineStr">
        <is>
          <t>Tunisia</t>
        </is>
      </c>
      <c r="E26" t="inlineStr">
        <is>
          <t>tn.png</t>
        </is>
      </c>
      <c r="F26" t="inlineStr">
        <is>
          <t>Embedded PNG flag image, not emoji text</t>
        </is>
      </c>
    </row>
    <row r="27" ht="22" customHeight="1" s="28">
      <c r="A27" t="inlineStr">
        <is>
          <t>G</t>
        </is>
      </c>
      <c r="B27" t="n">
        <v>1</v>
      </c>
      <c r="D27" t="inlineStr">
        <is>
          <t>Belgium</t>
        </is>
      </c>
      <c r="E27" t="inlineStr">
        <is>
          <t>be.png</t>
        </is>
      </c>
      <c r="F27" t="inlineStr">
        <is>
          <t>Embedded PNG flag image, not emoji text</t>
        </is>
      </c>
    </row>
    <row r="28" ht="22" customHeight="1" s="28">
      <c r="A28" t="inlineStr">
        <is>
          <t>G</t>
        </is>
      </c>
      <c r="B28" t="n">
        <v>2</v>
      </c>
      <c r="D28" t="inlineStr">
        <is>
          <t>Egypt</t>
        </is>
      </c>
      <c r="E28" t="inlineStr">
        <is>
          <t>eg.png</t>
        </is>
      </c>
      <c r="F28" t="inlineStr">
        <is>
          <t>Embedded PNG flag image, not emoji text</t>
        </is>
      </c>
    </row>
    <row r="29" ht="22" customHeight="1" s="28">
      <c r="A29" t="inlineStr">
        <is>
          <t>G</t>
        </is>
      </c>
      <c r="B29" t="n">
        <v>3</v>
      </c>
      <c r="D29" t="inlineStr">
        <is>
          <t>IR Iran</t>
        </is>
      </c>
      <c r="E29" t="inlineStr">
        <is>
          <t>ir.png</t>
        </is>
      </c>
      <c r="F29" t="inlineStr">
        <is>
          <t>Embedded PNG flag image, not emoji text</t>
        </is>
      </c>
    </row>
    <row r="30" ht="22" customHeight="1" s="28">
      <c r="A30" t="inlineStr">
        <is>
          <t>G</t>
        </is>
      </c>
      <c r="B30" t="n">
        <v>4</v>
      </c>
      <c r="D30" t="inlineStr">
        <is>
          <t>New Zealand</t>
        </is>
      </c>
      <c r="E30" t="inlineStr">
        <is>
          <t>nz.png</t>
        </is>
      </c>
      <c r="F30" t="inlineStr">
        <is>
          <t>Embedded PNG flag image, not emoji text</t>
        </is>
      </c>
    </row>
    <row r="31" ht="22" customHeight="1" s="28">
      <c r="A31" t="inlineStr">
        <is>
          <t>H</t>
        </is>
      </c>
      <c r="B31" t="n">
        <v>1</v>
      </c>
      <c r="D31" t="inlineStr">
        <is>
          <t>Spain</t>
        </is>
      </c>
      <c r="E31" t="inlineStr">
        <is>
          <t>es.png</t>
        </is>
      </c>
      <c r="F31" t="inlineStr">
        <is>
          <t>Embedded PNG flag image, not emoji text</t>
        </is>
      </c>
    </row>
    <row r="32" ht="22" customHeight="1" s="28">
      <c r="A32" t="inlineStr">
        <is>
          <t>H</t>
        </is>
      </c>
      <c r="B32" t="n">
        <v>2</v>
      </c>
      <c r="D32" t="inlineStr">
        <is>
          <t>Cabo Verde</t>
        </is>
      </c>
      <c r="E32" t="inlineStr">
        <is>
          <t>cv.png</t>
        </is>
      </c>
      <c r="F32" t="inlineStr">
        <is>
          <t>Embedded PNG flag image, not emoji text</t>
        </is>
      </c>
    </row>
    <row r="33" ht="22" customHeight="1" s="28">
      <c r="A33" t="inlineStr">
        <is>
          <t>H</t>
        </is>
      </c>
      <c r="B33" t="n">
        <v>3</v>
      </c>
      <c r="D33" t="inlineStr">
        <is>
          <t>Saudi Arabia</t>
        </is>
      </c>
      <c r="E33" t="inlineStr">
        <is>
          <t>sa.png</t>
        </is>
      </c>
      <c r="F33" t="inlineStr">
        <is>
          <t>Embedded PNG flag image, not emoji text</t>
        </is>
      </c>
    </row>
    <row r="34" ht="22" customHeight="1" s="28">
      <c r="A34" t="inlineStr">
        <is>
          <t>H</t>
        </is>
      </c>
      <c r="B34" t="n">
        <v>4</v>
      </c>
      <c r="D34" t="inlineStr">
        <is>
          <t>Uruguay</t>
        </is>
      </c>
      <c r="E34" t="inlineStr">
        <is>
          <t>uy.png</t>
        </is>
      </c>
      <c r="F34" t="inlineStr">
        <is>
          <t>Embedded PNG flag image, not emoji text</t>
        </is>
      </c>
    </row>
    <row r="35" ht="22" customHeight="1" s="28">
      <c r="A35" t="inlineStr">
        <is>
          <t>I</t>
        </is>
      </c>
      <c r="B35" t="n">
        <v>1</v>
      </c>
      <c r="D35" t="inlineStr">
        <is>
          <t>France</t>
        </is>
      </c>
      <c r="E35" t="inlineStr">
        <is>
          <t>fr.png</t>
        </is>
      </c>
      <c r="F35" t="inlineStr">
        <is>
          <t>Embedded PNG flag image, not emoji text</t>
        </is>
      </c>
    </row>
    <row r="36" ht="22" customHeight="1" s="28">
      <c r="A36" t="inlineStr">
        <is>
          <t>I</t>
        </is>
      </c>
      <c r="B36" t="n">
        <v>2</v>
      </c>
      <c r="D36" t="inlineStr">
        <is>
          <t>Senegal</t>
        </is>
      </c>
      <c r="E36" t="inlineStr">
        <is>
          <t>sn.png</t>
        </is>
      </c>
      <c r="F36" t="inlineStr">
        <is>
          <t>Embedded PNG flag image, not emoji text</t>
        </is>
      </c>
    </row>
    <row r="37" ht="22" customHeight="1" s="28">
      <c r="A37" t="inlineStr">
        <is>
          <t>I</t>
        </is>
      </c>
      <c r="B37" t="n">
        <v>3</v>
      </c>
      <c r="D37" t="inlineStr">
        <is>
          <t>Iraq</t>
        </is>
      </c>
      <c r="E37" t="inlineStr">
        <is>
          <t>iq.png</t>
        </is>
      </c>
      <c r="F37" t="inlineStr">
        <is>
          <t>Embedded PNG flag image, not emoji text</t>
        </is>
      </c>
    </row>
    <row r="38" ht="22" customHeight="1" s="28">
      <c r="A38" t="inlineStr">
        <is>
          <t>I</t>
        </is>
      </c>
      <c r="B38" t="n">
        <v>4</v>
      </c>
      <c r="D38" t="inlineStr">
        <is>
          <t>Norway</t>
        </is>
      </c>
      <c r="E38" t="inlineStr">
        <is>
          <t>no.png</t>
        </is>
      </c>
      <c r="F38" t="inlineStr">
        <is>
          <t>Embedded PNG flag image, not emoji text</t>
        </is>
      </c>
    </row>
    <row r="39" ht="22" customHeight="1" s="28">
      <c r="A39" t="inlineStr">
        <is>
          <t>J</t>
        </is>
      </c>
      <c r="B39" t="n">
        <v>1</v>
      </c>
      <c r="D39" t="inlineStr">
        <is>
          <t>Argentina</t>
        </is>
      </c>
      <c r="E39" t="inlineStr">
        <is>
          <t>ar.png</t>
        </is>
      </c>
      <c r="F39" t="inlineStr">
        <is>
          <t>Embedded PNG flag image, not emoji text</t>
        </is>
      </c>
    </row>
    <row r="40" ht="22" customHeight="1" s="28">
      <c r="A40" t="inlineStr">
        <is>
          <t>J</t>
        </is>
      </c>
      <c r="B40" t="n">
        <v>2</v>
      </c>
      <c r="D40" t="inlineStr">
        <is>
          <t>Algeria</t>
        </is>
      </c>
      <c r="E40" t="inlineStr">
        <is>
          <t>dz.png</t>
        </is>
      </c>
      <c r="F40" t="inlineStr">
        <is>
          <t>Embedded PNG flag image, not emoji text</t>
        </is>
      </c>
    </row>
    <row r="41" ht="22" customHeight="1" s="28">
      <c r="A41" t="inlineStr">
        <is>
          <t>J</t>
        </is>
      </c>
      <c r="B41" t="n">
        <v>3</v>
      </c>
      <c r="D41" t="inlineStr">
        <is>
          <t>Austria</t>
        </is>
      </c>
      <c r="E41" t="inlineStr">
        <is>
          <t>at.png</t>
        </is>
      </c>
      <c r="F41" t="inlineStr">
        <is>
          <t>Embedded PNG flag image, not emoji text</t>
        </is>
      </c>
    </row>
    <row r="42" ht="22" customHeight="1" s="28">
      <c r="A42" t="inlineStr">
        <is>
          <t>J</t>
        </is>
      </c>
      <c r="B42" t="n">
        <v>4</v>
      </c>
      <c r="D42" t="inlineStr">
        <is>
          <t>Jordan</t>
        </is>
      </c>
      <c r="E42" t="inlineStr">
        <is>
          <t>jo.png</t>
        </is>
      </c>
      <c r="F42" t="inlineStr">
        <is>
          <t>Embedded PNG flag image, not emoji text</t>
        </is>
      </c>
    </row>
    <row r="43" ht="22" customHeight="1" s="28">
      <c r="A43" t="inlineStr">
        <is>
          <t>K</t>
        </is>
      </c>
      <c r="B43" t="n">
        <v>1</v>
      </c>
      <c r="D43" t="inlineStr">
        <is>
          <t>Portugal</t>
        </is>
      </c>
      <c r="E43" t="inlineStr">
        <is>
          <t>pt.png</t>
        </is>
      </c>
      <c r="F43" t="inlineStr">
        <is>
          <t>Embedded PNG flag image, not emoji text</t>
        </is>
      </c>
    </row>
    <row r="44" ht="22" customHeight="1" s="28">
      <c r="A44" t="inlineStr">
        <is>
          <t>K</t>
        </is>
      </c>
      <c r="B44" t="n">
        <v>2</v>
      </c>
      <c r="D44" t="inlineStr">
        <is>
          <t>Congo DR</t>
        </is>
      </c>
      <c r="E44" t="inlineStr">
        <is>
          <t>cd.png</t>
        </is>
      </c>
      <c r="F44" t="inlineStr">
        <is>
          <t>Embedded PNG flag image, not emoji text</t>
        </is>
      </c>
    </row>
    <row r="45" ht="22" customHeight="1" s="28">
      <c r="A45" t="inlineStr">
        <is>
          <t>K</t>
        </is>
      </c>
      <c r="B45" t="n">
        <v>3</v>
      </c>
      <c r="D45" t="inlineStr">
        <is>
          <t>Uzbekistan</t>
        </is>
      </c>
      <c r="E45" t="inlineStr">
        <is>
          <t>uz.png</t>
        </is>
      </c>
      <c r="F45" t="inlineStr">
        <is>
          <t>Embedded PNG flag image, not emoji text</t>
        </is>
      </c>
    </row>
    <row r="46" ht="22" customHeight="1" s="28">
      <c r="A46" t="inlineStr">
        <is>
          <t>K</t>
        </is>
      </c>
      <c r="B46" t="n">
        <v>4</v>
      </c>
      <c r="D46" t="inlineStr">
        <is>
          <t>Colombia</t>
        </is>
      </c>
      <c r="E46" t="inlineStr">
        <is>
          <t>co.png</t>
        </is>
      </c>
      <c r="F46" t="inlineStr">
        <is>
          <t>Embedded PNG flag image, not emoji text</t>
        </is>
      </c>
    </row>
    <row r="47" ht="22" customHeight="1" s="28">
      <c r="A47" t="inlineStr">
        <is>
          <t>L</t>
        </is>
      </c>
      <c r="B47" t="n">
        <v>1</v>
      </c>
      <c r="D47" t="inlineStr">
        <is>
          <t>England</t>
        </is>
      </c>
      <c r="E47" t="inlineStr">
        <is>
          <t>england.png</t>
        </is>
      </c>
      <c r="F47" t="inlineStr">
        <is>
          <t>Embedded PNG flag image, not emoji text</t>
        </is>
      </c>
    </row>
    <row r="48" ht="22" customHeight="1" s="28">
      <c r="A48" t="inlineStr">
        <is>
          <t>L</t>
        </is>
      </c>
      <c r="B48" t="n">
        <v>2</v>
      </c>
      <c r="D48" t="inlineStr">
        <is>
          <t>Croatia</t>
        </is>
      </c>
      <c r="E48" t="inlineStr">
        <is>
          <t>hr.png</t>
        </is>
      </c>
      <c r="F48" t="inlineStr">
        <is>
          <t>Embedded PNG flag image, not emoji text</t>
        </is>
      </c>
    </row>
    <row r="49" ht="22" customHeight="1" s="28">
      <c r="A49" t="inlineStr">
        <is>
          <t>L</t>
        </is>
      </c>
      <c r="B49" t="n">
        <v>3</v>
      </c>
      <c r="D49" t="inlineStr">
        <is>
          <t>Ghana</t>
        </is>
      </c>
      <c r="E49" t="inlineStr">
        <is>
          <t>gh.png</t>
        </is>
      </c>
      <c r="F49" t="inlineStr">
        <is>
          <t>Embedded PNG flag image, not emoji text</t>
        </is>
      </c>
    </row>
    <row r="50" ht="22" customHeight="1" s="28">
      <c r="A50" t="inlineStr">
        <is>
          <t>L</t>
        </is>
      </c>
      <c r="B50" t="n">
        <v>4</v>
      </c>
      <c r="D50" t="inlineStr">
        <is>
          <t>Panama</t>
        </is>
      </c>
      <c r="E50" t="inlineStr">
        <is>
          <t>pa.png</t>
        </is>
      </c>
      <c r="F50" t="inlineStr">
        <is>
          <t>Embedded PNG flag image, not emoji text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2026-06-16T16:57:49Z</dcterms:created>
  <dcterms:modified xmlns:dcterms="http://purl.org/dc/terms/" xmlns:xsi="http://www.w3.org/2001/XMLSchema-instance" xsi:type="dcterms:W3CDTF">2026-06-16T16:59:35Z</dcterms:modified>
</cp:coreProperties>
</file>